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d93a2b8fd1233/سطح المكتب/"/>
    </mc:Choice>
  </mc:AlternateContent>
  <xr:revisionPtr revIDLastSave="0" documentId="8_{4F7464A5-7001-4F74-AF1C-7200CE83EFD8}" xr6:coauthVersionLast="47" xr6:coauthVersionMax="47" xr10:uidLastSave="{00000000-0000-0000-0000-000000000000}"/>
  <bookViews>
    <workbookView xWindow="-90" yWindow="0" windowWidth="9780" windowHeight="10170" xr2:uid="{7A77A727-A5EF-4357-9AC1-321DB3B8BB3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/>
  <c r="I10" i="1"/>
  <c r="G12" i="1"/>
  <c r="G13" i="1"/>
  <c r="G14" i="1"/>
  <c r="G11" i="1"/>
  <c r="F11" i="1"/>
  <c r="E2" i="1"/>
  <c r="B2" i="1"/>
  <c r="F12" i="1"/>
  <c r="F13" i="1"/>
  <c r="F14" i="1"/>
  <c r="H2" i="1"/>
</calcChain>
</file>

<file path=xl/sharedStrings.xml><?xml version="1.0" encoding="utf-8"?>
<sst xmlns="http://schemas.openxmlformats.org/spreadsheetml/2006/main" count="15" uniqueCount="15">
  <si>
    <t>تحليل أداء فروع مقهى</t>
  </si>
  <si>
    <t>الفرع</t>
  </si>
  <si>
    <t>عدد العملاء</t>
  </si>
  <si>
    <t>المستهدف</t>
  </si>
  <si>
    <t>الشكاوى</t>
  </si>
  <si>
    <t>شمال</t>
  </si>
  <si>
    <t>جنوب</t>
  </si>
  <si>
    <t>شرق</t>
  </si>
  <si>
    <t>غرب</t>
  </si>
  <si>
    <t>نسبة الإنجاز</t>
  </si>
  <si>
    <t>اجمالي العملاء</t>
  </si>
  <si>
    <t>اجمالي الشكاوى</t>
  </si>
  <si>
    <t>متوسط الإنجاز</t>
  </si>
  <si>
    <t>الفرع الأقل تحقيقاً</t>
  </si>
  <si>
    <t>الفرع الأعلى تحقيقاً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</si>
</sst>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8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2" xfId="0" applyFont="1" applyBorder="1" applyAlignment="1">
      <alignment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0" fillId="0" borderId="1" xfId="0" applyBorder="1"/>
    <xf numFmtId="9" fontId="4" fillId="0" borderId="1" xfId="1" applyFont="1" applyBorder="1"/>
    <xf numFmtId="0" fontId="2" fillId="0" borderId="3" xfId="0" applyFont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9" fontId="6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 readingOrder="2"/>
    </xf>
    <xf numFmtId="0" fontId="6" fillId="0" borderId="0" xfId="1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0" fillId="0" borderId="0" xfId="0" applyFill="1" applyAlignment="1"/>
    <xf numFmtId="0" fontId="6" fillId="2" borderId="0" xfId="0" applyFont="1" applyFill="1" applyAlignment="1">
      <alignment horizontal="center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C499-571E-40DC-B967-25C5EF7EA077}">
  <dimension ref="B2:K17"/>
  <sheetViews>
    <sheetView rightToLeft="1" tabSelected="1" zoomScale="60" workbookViewId="0">
      <selection activeCell="F24" sqref="F24"/>
    </sheetView>
  </sheetViews>
  <sheetFormatPr defaultRowHeight="14" x14ac:dyDescent="0.3"/>
  <cols>
    <col min="2" max="2" width="10.1640625" customWidth="1"/>
    <col min="3" max="3" width="11" customWidth="1"/>
    <col min="4" max="4" width="10.83203125" customWidth="1"/>
  </cols>
  <sheetData>
    <row r="2" spans="2:11" x14ac:dyDescent="0.3">
      <c r="B2" s="12">
        <f>SUM(C11:C14)</f>
        <v>5900</v>
      </c>
      <c r="C2" s="13"/>
      <c r="E2" s="7">
        <f>SUM(E11:E14)</f>
        <v>75</v>
      </c>
      <c r="F2" s="7"/>
      <c r="H2" s="9">
        <f>AVERAGE(F11:F14)</f>
        <v>0.98333333333333328</v>
      </c>
      <c r="I2" s="7"/>
    </row>
    <row r="3" spans="2:11" x14ac:dyDescent="0.3">
      <c r="B3" s="13"/>
      <c r="C3" s="13"/>
      <c r="E3" s="7"/>
      <c r="F3" s="7"/>
      <c r="H3" s="7"/>
      <c r="I3" s="7"/>
    </row>
    <row r="4" spans="2:11" x14ac:dyDescent="0.3">
      <c r="B4" s="13"/>
      <c r="C4" s="13"/>
      <c r="E4" s="7"/>
      <c r="F4" s="7"/>
      <c r="H4" s="7"/>
      <c r="I4" s="7"/>
    </row>
    <row r="5" spans="2:11" x14ac:dyDescent="0.3">
      <c r="B5" s="13"/>
      <c r="C5" s="13"/>
      <c r="E5" s="7"/>
      <c r="F5" s="7"/>
      <c r="H5" s="7"/>
      <c r="I5" s="7"/>
    </row>
    <row r="6" spans="2:11" ht="22.5" x14ac:dyDescent="0.45">
      <c r="B6" s="10" t="s">
        <v>10</v>
      </c>
      <c r="C6" s="10"/>
      <c r="E6" s="10" t="s">
        <v>11</v>
      </c>
      <c r="F6" s="10"/>
      <c r="H6" s="10" t="s">
        <v>12</v>
      </c>
      <c r="I6" s="10"/>
    </row>
    <row r="8" spans="2:11" ht="20.5" customHeight="1" thickBot="1" x14ac:dyDescent="0.35">
      <c r="B8" s="5" t="s">
        <v>0</v>
      </c>
      <c r="C8" s="6"/>
      <c r="D8" s="6"/>
      <c r="E8" s="6"/>
      <c r="F8" s="6"/>
    </row>
    <row r="9" spans="2:11" ht="14.5" x14ac:dyDescent="0.35">
      <c r="B9" s="1"/>
      <c r="C9" s="1"/>
      <c r="D9" s="1"/>
      <c r="H9" s="8"/>
      <c r="I9" s="8"/>
    </row>
    <row r="10" spans="2:11" ht="40" x14ac:dyDescent="0.3">
      <c r="B10" s="2" t="s">
        <v>1</v>
      </c>
      <c r="C10" s="2" t="s">
        <v>2</v>
      </c>
      <c r="D10" s="2" t="s">
        <v>3</v>
      </c>
      <c r="E10" s="2" t="s">
        <v>4</v>
      </c>
      <c r="F10" s="11" t="s">
        <v>9</v>
      </c>
      <c r="G10" s="11"/>
      <c r="H10" s="8"/>
      <c r="I10" s="7" t="str">
        <f>INDEX(B11:B14,MATCH(MAX(F11:F14),F11:F14,0))</f>
        <v>غرب</v>
      </c>
      <c r="J10" s="7"/>
    </row>
    <row r="11" spans="2:11" ht="20" x14ac:dyDescent="0.3">
      <c r="B11" s="2" t="s">
        <v>5</v>
      </c>
      <c r="C11" s="2">
        <v>1200</v>
      </c>
      <c r="D11" s="2">
        <v>1500</v>
      </c>
      <c r="E11" s="2">
        <v>30</v>
      </c>
      <c r="F11" s="4">
        <f>C11/D11</f>
        <v>0.8</v>
      </c>
      <c r="G11" s="3" t="str">
        <f>IF(F11&gt;=1,"حقق","ماحقق")</f>
        <v>ماحقق</v>
      </c>
      <c r="H11" s="8"/>
      <c r="I11" s="7"/>
      <c r="J11" s="7"/>
    </row>
    <row r="12" spans="2:11" ht="20" x14ac:dyDescent="0.4">
      <c r="B12" s="2" t="s">
        <v>6</v>
      </c>
      <c r="C12" s="2">
        <v>1600</v>
      </c>
      <c r="D12" s="2">
        <v>1500</v>
      </c>
      <c r="E12" s="2">
        <v>20</v>
      </c>
      <c r="F12" s="4">
        <f t="shared" ref="F12:F14" si="0">C12/D12</f>
        <v>1.0666666666666667</v>
      </c>
      <c r="G12" s="3" t="str">
        <f t="shared" ref="G12:G14" si="1">IF(F12&gt;=1,"حقق","ماحقق")</f>
        <v>حقق</v>
      </c>
      <c r="I12" s="15" t="s">
        <v>14</v>
      </c>
      <c r="J12" s="15"/>
      <c r="K12" s="14"/>
    </row>
    <row r="13" spans="2:11" ht="20" x14ac:dyDescent="0.3">
      <c r="B13" s="2" t="s">
        <v>7</v>
      </c>
      <c r="C13" s="2">
        <v>1400</v>
      </c>
      <c r="D13" s="2">
        <v>1500</v>
      </c>
      <c r="E13" s="2">
        <v>15</v>
      </c>
      <c r="F13" s="4">
        <f t="shared" si="0"/>
        <v>0.93333333333333335</v>
      </c>
      <c r="G13" s="3" t="str">
        <f t="shared" si="1"/>
        <v>ماحقق</v>
      </c>
    </row>
    <row r="14" spans="2:11" ht="20" x14ac:dyDescent="0.3">
      <c r="B14" s="2" t="s">
        <v>8</v>
      </c>
      <c r="C14" s="2">
        <v>1700</v>
      </c>
      <c r="D14" s="2">
        <v>1500</v>
      </c>
      <c r="E14" s="2">
        <v>10</v>
      </c>
      <c r="F14" s="4">
        <f t="shared" si="0"/>
        <v>1.1333333333333333</v>
      </c>
      <c r="G14" s="3" t="str">
        <f t="shared" si="1"/>
        <v>حقق</v>
      </c>
      <c r="I14" s="7" t="str">
        <f>INDEX(B11:B14,MATCH(MIN(F11:F14),F11:F14,0))</f>
        <v>شمال</v>
      </c>
      <c r="J14" s="7"/>
    </row>
    <row r="15" spans="2:11" x14ac:dyDescent="0.3">
      <c r="I15" s="7"/>
      <c r="J15" s="7"/>
    </row>
    <row r="16" spans="2:11" x14ac:dyDescent="0.3">
      <c r="I16" s="7"/>
      <c r="J16" s="7"/>
    </row>
    <row r="17" spans="9:10" ht="20" x14ac:dyDescent="0.4">
      <c r="I17" s="15" t="s">
        <v>13</v>
      </c>
      <c r="J17" s="15"/>
    </row>
  </sheetData>
  <mergeCells count="12">
    <mergeCell ref="I14:J16"/>
    <mergeCell ref="I17:J17"/>
    <mergeCell ref="F10:G10"/>
    <mergeCell ref="I10:J11"/>
    <mergeCell ref="I12:J12"/>
    <mergeCell ref="B8:F8"/>
    <mergeCell ref="B2:C5"/>
    <mergeCell ref="E2:F5"/>
    <mergeCell ref="H2:I5"/>
    <mergeCell ref="E6:F6"/>
    <mergeCell ref="H6:I6"/>
    <mergeCell ref="B6:C6"/>
  </mergeCells>
  <conditionalFormatting sqref="C11:C1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{A24BF19B-81AE-4995-85AC-40C287C2F8EC}</x14:id>
        </ext>
      </extLst>
    </cfRule>
  </conditionalFormatting>
  <conditionalFormatting sqref="F11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4BF19B-81AE-4995-85AC-40C287C2F8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C11:C14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لانا العمري</dc:creator>
  <cp:lastModifiedBy>لانا العمري</cp:lastModifiedBy>
  <dcterms:created xsi:type="dcterms:W3CDTF">2026-10-27T18:53:17Z</dcterms:created>
  <dcterms:modified xsi:type="dcterms:W3CDTF">2026-10-27T19:48:23Z</dcterms:modified>
</cp:coreProperties>
</file>