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a1d93a2b8fd1233/سطح المكتب/"/>
    </mc:Choice>
  </mc:AlternateContent>
  <xr:revisionPtr revIDLastSave="0" documentId="8_{1AF78E72-904C-4C40-B59F-CE6FA65B3CBA}" xr6:coauthVersionLast="47" xr6:coauthVersionMax="47" xr10:uidLastSave="{00000000-0000-0000-0000-000000000000}"/>
  <bookViews>
    <workbookView xWindow="-110" yWindow="-110" windowWidth="19420" windowHeight="10300" activeTab="2" xr2:uid="{E0BDA989-6FBA-49D8-809C-B604B20C3337}"/>
  </bookViews>
  <sheets>
    <sheet name="ورقة1" sheetId="1" r:id="rId1"/>
    <sheet name="ورقة2" sheetId="2" r:id="rId2"/>
    <sheet name="ورقة3" sheetId="3" r:id="rId3"/>
  </sheets>
  <definedNames>
    <definedName name="_xlnm._FilterDatabase" localSheetId="2" hidden="1">ورقة3!$G$1:$G$11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1" i="3" l="1"/>
  <c r="D19" i="3"/>
  <c r="H3" i="3"/>
  <c r="H4" i="3"/>
  <c r="H5" i="3"/>
  <c r="H6" i="3"/>
  <c r="H7" i="3"/>
  <c r="H8" i="3"/>
  <c r="H9" i="3"/>
  <c r="H10" i="3"/>
  <c r="H11" i="3"/>
  <c r="H2" i="3"/>
  <c r="G2" i="3"/>
  <c r="G3" i="3"/>
  <c r="G4" i="3"/>
  <c r="G5" i="3"/>
  <c r="G6" i="3"/>
  <c r="G7" i="3"/>
  <c r="G8" i="3"/>
  <c r="G9" i="3"/>
  <c r="G10" i="3"/>
  <c r="G11" i="3"/>
  <c r="F3" i="3"/>
  <c r="F4" i="3"/>
  <c r="F5" i="3"/>
  <c r="F6" i="3"/>
  <c r="F7" i="3"/>
  <c r="F8" i="3"/>
  <c r="F9" i="3"/>
  <c r="F10" i="3"/>
  <c r="F11" i="3"/>
  <c r="F2" i="3"/>
  <c r="D17" i="3" s="1"/>
  <c r="D22" i="3"/>
  <c r="D20" i="3"/>
  <c r="D18" i="3"/>
  <c r="I4" i="3"/>
  <c r="I5" i="3"/>
  <c r="I6" i="3"/>
  <c r="I7" i="3"/>
  <c r="I8" i="3"/>
  <c r="I9" i="3"/>
  <c r="I10" i="3"/>
  <c r="I11" i="3"/>
  <c r="I3" i="3"/>
  <c r="I2" i="3"/>
</calcChain>
</file>

<file path=xl/sharedStrings.xml><?xml version="1.0" encoding="utf-8"?>
<sst xmlns="http://schemas.openxmlformats.org/spreadsheetml/2006/main" count="185" uniqueCount="81">
  <si>
    <t>رقم التسجيل</t>
  </si>
  <si>
    <t>الاسم</t>
  </si>
  <si>
    <t>الجوال</t>
  </si>
  <si>
    <t>عدد الكتب المطلوبة</t>
  </si>
  <si>
    <t>أحمد محمد</t>
  </si>
  <si>
    <t>الرياض</t>
  </si>
  <si>
    <t>سارة علي</t>
  </si>
  <si>
    <t>جدة</t>
  </si>
  <si>
    <t>خالد سالم</t>
  </si>
  <si>
    <t>نورة أحمد</t>
  </si>
  <si>
    <t>الدمام</t>
  </si>
  <si>
    <t>ريم عبدالله</t>
  </si>
  <si>
    <t>فهد خالد</t>
  </si>
  <si>
    <t>منى صالح</t>
  </si>
  <si>
    <t>يوسف حسن</t>
  </si>
  <si>
    <t>عبدالله ناصر</t>
  </si>
  <si>
    <t>هناء محمد</t>
  </si>
  <si>
    <t>المدينة المنورة</t>
  </si>
  <si>
    <t>ليان عمر</t>
  </si>
  <si>
    <t>تركي فهد</t>
  </si>
  <si>
    <t>روان خالد</t>
  </si>
  <si>
    <t>مكة المكرمة</t>
  </si>
  <si>
    <t>فيصل عبدالله</t>
  </si>
  <si>
    <t>مها حسن</t>
  </si>
  <si>
    <t>مكة المكرمة المكرمة</t>
  </si>
  <si>
    <t>المدن</t>
  </si>
  <si>
    <t>الاسم الثاني</t>
  </si>
  <si>
    <t>الاسم الأول</t>
  </si>
  <si>
    <t>يوسف</t>
  </si>
  <si>
    <t>حسن</t>
  </si>
  <si>
    <t>فهد</t>
  </si>
  <si>
    <t>خالد</t>
  </si>
  <si>
    <t>فيصل</t>
  </si>
  <si>
    <t>عبدالله</t>
  </si>
  <si>
    <t>سارة</t>
  </si>
  <si>
    <t>علي</t>
  </si>
  <si>
    <t>تركي</t>
  </si>
  <si>
    <t>نورة</t>
  </si>
  <si>
    <t>أحمد</t>
  </si>
  <si>
    <t>ناصر</t>
  </si>
  <si>
    <t>روان</t>
  </si>
  <si>
    <t>محمد</t>
  </si>
  <si>
    <t>سعد</t>
  </si>
  <si>
    <t>سالم</t>
  </si>
  <si>
    <t>منى</t>
  </si>
  <si>
    <t>صالح</t>
  </si>
  <si>
    <t>هناء</t>
  </si>
  <si>
    <t>مها</t>
  </si>
  <si>
    <t>ريم</t>
  </si>
  <si>
    <t>ليان</t>
  </si>
  <si>
    <t>عمر</t>
  </si>
  <si>
    <t>المدن2</t>
  </si>
  <si>
    <t>الكتب المطلوبة</t>
  </si>
  <si>
    <t>رقم العضوية</t>
  </si>
  <si>
    <t>الاسم الكامل</t>
  </si>
  <si>
    <t>نوع الاشتراك</t>
  </si>
  <si>
    <t>عدد الزيارات</t>
  </si>
  <si>
    <t>شهري</t>
  </si>
  <si>
    <t>سنوي</t>
  </si>
  <si>
    <t>ربع سنوي</t>
  </si>
  <si>
    <t>سنوى</t>
  </si>
  <si>
    <t>الاسم الأخير</t>
  </si>
  <si>
    <t>نوع الاشتراك3</t>
  </si>
  <si>
    <t>الموظف</t>
  </si>
  <si>
    <t>القسم</t>
  </si>
  <si>
    <t>عدد المكالمات</t>
  </si>
  <si>
    <t>الجودة %</t>
  </si>
  <si>
    <t>سنوات الخبرة</t>
  </si>
  <si>
    <t>الدعم الفني</t>
  </si>
  <si>
    <t>خدمة العملاء</t>
  </si>
  <si>
    <t>المبيعات</t>
  </si>
  <si>
    <t>مرشح للترقية</t>
  </si>
  <si>
    <t>عدد الموظفين المتميزين</t>
  </si>
  <si>
    <t>عدد الموظفين المتميزين في الدعم الفني</t>
  </si>
  <si>
    <t>اجمالي المكالمات لقسم الدعم الفني</t>
  </si>
  <si>
    <t>اجمالي المكالمات لقسم الدعم الفني 90% فاكثر</t>
  </si>
  <si>
    <t>المكالمات لكل سنة خبرة</t>
  </si>
  <si>
    <t>جودة الموظف</t>
  </si>
  <si>
    <t>استحقاق المكافأة</t>
  </si>
  <si>
    <t>اجمالي المكالمات لقسم خدمة العملاء</t>
  </si>
  <si>
    <t>اجمالي المكالمات لقسم المبيعات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</si>
</sst>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family val="2"/>
      <charset val="178"/>
      <scheme val="minor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8"/>
      <name val="Arial"/>
      <family val="2"/>
      <charset val="178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 readingOrder="2"/>
    </xf>
    <xf numFmtId="0" fontId="1" fillId="0" borderId="4" xfId="0" applyFont="1" applyBorder="1" applyAlignment="1">
      <alignment horizontal="center" vertical="center" wrapText="1" readingOrder="2"/>
    </xf>
    <xf numFmtId="0" fontId="1" fillId="0" borderId="5" xfId="0" applyFont="1" applyBorder="1" applyAlignment="1">
      <alignment horizontal="center" vertical="center" wrapText="1" readingOrder="2"/>
    </xf>
    <xf numFmtId="49" fontId="1" fillId="0" borderId="5" xfId="0" applyNumberFormat="1" applyFont="1" applyBorder="1" applyAlignment="1">
      <alignment horizontal="center" vertical="center" wrapText="1" readingOrder="2"/>
    </xf>
    <xf numFmtId="0" fontId="1" fillId="0" borderId="6" xfId="0" applyFont="1" applyBorder="1" applyAlignment="1">
      <alignment horizontal="center" vertical="center" readingOrder="2"/>
    </xf>
    <xf numFmtId="0" fontId="1" fillId="0" borderId="3" xfId="0" applyFont="1" applyBorder="1" applyAlignment="1">
      <alignment horizontal="center" vertical="center" wrapText="1" readingOrder="2"/>
    </xf>
    <xf numFmtId="0" fontId="1" fillId="0" borderId="7" xfId="0" applyFont="1" applyBorder="1" applyAlignment="1">
      <alignment horizontal="center" vertical="center" wrapText="1" readingOrder="2"/>
    </xf>
    <xf numFmtId="0" fontId="3" fillId="0" borderId="1" xfId="0" applyFont="1" applyBorder="1" applyAlignment="1">
      <alignment horizontal="center" vertical="center" wrapText="1" readingOrder="2"/>
    </xf>
    <xf numFmtId="0" fontId="3" fillId="0" borderId="2" xfId="0" applyFont="1" applyBorder="1" applyAlignment="1">
      <alignment horizontal="center" vertical="center" wrapText="1" readingOrder="2"/>
    </xf>
    <xf numFmtId="0" fontId="3" fillId="0" borderId="3" xfId="0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2"/>
    </xf>
    <xf numFmtId="0" fontId="2" fillId="0" borderId="5" xfId="0" applyFont="1" applyBorder="1" applyAlignment="1">
      <alignment horizontal="center" vertical="center" wrapText="1" readingOrder="2"/>
    </xf>
    <xf numFmtId="0" fontId="2" fillId="0" borderId="6" xfId="0" applyFont="1" applyBorder="1" applyAlignment="1">
      <alignment horizontal="center" vertical="center" readingOrder="2"/>
    </xf>
    <xf numFmtId="0" fontId="3" fillId="0" borderId="7" xfId="0" applyFont="1" applyBorder="1" applyAlignment="1">
      <alignment horizontal="center" vertical="center" wrapText="1" readingOrder="2"/>
    </xf>
    <xf numFmtId="0" fontId="3" fillId="0" borderId="5" xfId="0" applyFont="1" applyBorder="1" applyAlignment="1">
      <alignment horizontal="center" vertical="center" wrapText="1" readingOrder="2"/>
    </xf>
    <xf numFmtId="0" fontId="6" fillId="0" borderId="0" xfId="0" applyFont="1" applyFill="1" applyBorder="1" applyAlignment="1">
      <alignment vertical="center" readingOrder="2"/>
    </xf>
    <xf numFmtId="0" fontId="6" fillId="0" borderId="0" xfId="0" applyFont="1" applyFill="1" applyBorder="1" applyAlignment="1">
      <alignment vertical="center" wrapText="1" readingOrder="2"/>
    </xf>
    <xf numFmtId="0" fontId="0" fillId="0" borderId="0" xfId="0" applyBorder="1"/>
    <xf numFmtId="0" fontId="5" fillId="0" borderId="8" xfId="0" applyFont="1" applyBorder="1" applyAlignment="1">
      <alignment horizontal="center" vertical="center" wrapText="1" readingOrder="2"/>
    </xf>
    <xf numFmtId="0" fontId="7" fillId="0" borderId="8" xfId="0" applyFont="1" applyBorder="1"/>
    <xf numFmtId="9" fontId="5" fillId="0" borderId="8" xfId="0" applyNumberFormat="1" applyFont="1" applyBorder="1" applyAlignment="1">
      <alignment horizontal="center" vertical="center" wrapText="1" readingOrder="2"/>
    </xf>
    <xf numFmtId="0" fontId="5" fillId="2" borderId="8" xfId="0" applyFont="1" applyFill="1" applyBorder="1" applyAlignment="1">
      <alignment horizontal="center" vertical="center" wrapText="1" readingOrder="2"/>
    </xf>
    <xf numFmtId="0" fontId="7" fillId="2" borderId="8" xfId="0" applyFont="1" applyFill="1" applyBorder="1" applyAlignment="1">
      <alignment vertical="center"/>
    </xf>
    <xf numFmtId="0" fontId="5" fillId="2" borderId="8" xfId="0" applyFont="1" applyFill="1" applyBorder="1" applyAlignment="1">
      <alignment horizontal="center" vertical="center" wrapText="1" readingOrder="2"/>
    </xf>
    <xf numFmtId="0" fontId="7" fillId="2" borderId="8" xfId="0" applyFont="1" applyFill="1" applyBorder="1" applyAlignment="1"/>
    <xf numFmtId="0" fontId="7" fillId="2" borderId="8" xfId="0" applyFont="1" applyFill="1" applyBorder="1"/>
    <xf numFmtId="0" fontId="7" fillId="2" borderId="8" xfId="0" applyFont="1" applyFill="1" applyBorder="1" applyAlignment="1">
      <alignment horizontal="center"/>
    </xf>
    <xf numFmtId="0" fontId="7" fillId="0" borderId="0" xfId="0" applyFont="1" applyFill="1" applyBorder="1" applyAlignment="1"/>
    <xf numFmtId="0" fontId="7" fillId="0" borderId="0" xfId="0" applyFont="1" applyFill="1" applyBorder="1"/>
    <xf numFmtId="0" fontId="7" fillId="2" borderId="8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10" fontId="7" fillId="0" borderId="0" xfId="0" applyNumberFormat="1" applyFont="1" applyFill="1" applyBorder="1"/>
    <xf numFmtId="2" fontId="7" fillId="0" borderId="8" xfId="0" applyNumberFormat="1" applyFont="1" applyBorder="1"/>
    <xf numFmtId="0" fontId="7" fillId="2" borderId="9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/>
    </xf>
  </cellXfs>
  <cellStyles count="1">
    <cellStyle name="عادي" xfId="0" builtinId="0"/>
  </cellStyles>
  <dxfs count="29"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2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2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2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2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2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2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2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2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2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center" textRotation="0" wrapText="1" indent="0" justifyLastLine="0" shrinkToFit="0" readingOrder="2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center" textRotation="0" wrapText="1" indent="0" justifyLastLine="0" shrinkToFit="0" readingOrder="2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center" textRotation="0" wrapText="1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center" textRotation="0" wrapText="1" indent="0" justifyLastLine="0" shrinkToFit="0" readingOrder="2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center" textRotation="0" wrapText="1" indent="0" justifyLastLine="0" shrinkToFit="0" readingOrder="2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center" textRotation="0" wrapText="1" indent="0" justifyLastLine="0" shrinkToFit="0" readingOrder="2"/>
      <border diagonalUp="0" diagonalDown="0" outline="0">
        <left/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center" textRotation="0" wrapText="1" indent="0" justifyLastLine="0" shrinkToFit="0" readingOrder="2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center" textRotation="0" wrapText="1" indent="0" justifyLastLine="0" shrinkToFit="0" readingOrder="2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center" textRotation="0" wrapText="1" indent="0" justifyLastLine="0" shrinkToFit="0" readingOrder="2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center" textRotation="0" wrapText="1" indent="0" justifyLastLine="0" shrinkToFit="0" readingOrder="2"/>
      <border diagonalUp="0" diagonalDown="0" outline="0">
        <left style="medium">
          <color rgb="FFCCCCCC"/>
        </left>
        <right/>
        <top style="medium">
          <color rgb="FFCCCCCC"/>
        </top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center" textRotation="0" wrapText="1" indent="0" justifyLastLine="0" shrinkToFit="0" readingOrder="2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B7B4DF-B6E0-4BD0-925D-083BF1C33D9C}" name="الجدول1" displayName="الجدول1" ref="A1:I16" totalsRowShown="0" headerRowDxfId="25" dataDxfId="17" headerRowBorderDxfId="27" tableBorderDxfId="28" totalsRowBorderDxfId="26">
  <autoFilter ref="A1:I16" xr:uid="{FAB7B4DF-B6E0-4BD0-925D-083BF1C33D9C}"/>
  <sortState xmlns:xlrd2="http://schemas.microsoft.com/office/spreadsheetml/2017/richdata2" ref="A2:E16">
    <sortCondition descending="1" ref="E1:E20"/>
  </sortState>
  <tableColumns count="9">
    <tableColumn id="1" xr3:uid="{C2309B5E-AE22-4DAF-86A6-C1A14EC4AE3D}" name="رقم التسجيل" dataDxfId="24"/>
    <tableColumn id="2" xr3:uid="{47447181-5769-4048-9375-33D39D5B2BF0}" name="الاسم" dataDxfId="23"/>
    <tableColumn id="3" xr3:uid="{695F3275-0F77-4A3C-9940-A670E5C94A55}" name="المدن" dataDxfId="22"/>
    <tableColumn id="4" xr3:uid="{D010606B-2B96-4C73-A72E-F2BEBF178A4F}" name="الجوال" dataDxfId="21"/>
    <tableColumn id="5" xr3:uid="{C2D6DAC4-F2FC-444B-BE69-8F8EBEE04424}" name="عدد الكتب المطلوبة" dataDxfId="20"/>
    <tableColumn id="7" xr3:uid="{245B2706-5EEA-4DA3-8D78-0140A853323B}" name="الاسم الأول" dataDxfId="19"/>
    <tableColumn id="8" xr3:uid="{DDBA2E87-5849-4BF6-892D-47FC01718B12}" name="الاسم الثاني" dataDxfId="18"/>
    <tableColumn id="9" xr3:uid="{575AB40A-19AA-4E0B-9D35-54E65C2822FF}" name="المدن2" dataDxfId="16"/>
    <tableColumn id="10" xr3:uid="{21BD5B35-B200-4447-8A94-D1F3DB3A19A4}" name="الكتب المطلوبة" dataDxfId="15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5C55FE-7091-4A34-8431-2146F409E239}" name="الجدول2" displayName="الجدول2" ref="A1:H17" totalsRowShown="0" headerRowDxfId="5" dataDxfId="6" headerRowBorderDxfId="13" tableBorderDxfId="14" totalsRowBorderDxfId="12">
  <autoFilter ref="A1:H17" xr:uid="{BB5C55FE-7091-4A34-8431-2146F409E239}">
    <filterColumn colId="5">
      <customFilters>
        <customFilter operator="greaterThanOrEqual" val="20"/>
      </customFilters>
    </filterColumn>
  </autoFilter>
  <sortState xmlns:xlrd2="http://schemas.microsoft.com/office/spreadsheetml/2017/richdata2" ref="A2:G17">
    <sortCondition descending="1" ref="F1:F21"/>
  </sortState>
  <tableColumns count="8">
    <tableColumn id="1" xr3:uid="{32B36291-6F0B-4EDE-821F-D9164E41DFD9}" name="رقم العضوية" dataDxfId="11"/>
    <tableColumn id="2" xr3:uid="{DFA66003-ABCD-4FE8-8D54-913D873A922D}" name="الاسم الكامل" dataDxfId="10"/>
    <tableColumn id="8" xr3:uid="{0229CE1E-7707-42A7-9A03-FFB1060F5F6D}" name="الاسم الأخير" dataDxfId="3"/>
    <tableColumn id="3" xr3:uid="{DFD11680-BAAA-464B-92FB-59EF21ACD1A1}" name="نوع الاشتراك" dataDxfId="9"/>
    <tableColumn id="4" xr3:uid="{0EA18579-5785-486F-A1A7-C54EBB5EFB2C}" name="الجوال" dataDxfId="8"/>
    <tableColumn id="5" xr3:uid="{71F88878-3EC5-45FB-88E1-3A9B72A133EE}" name="عدد الزيارات" dataDxfId="7"/>
    <tableColumn id="6" xr3:uid="{0B211F2F-B91F-4379-8CE3-DD7E45A0779E}" name="الاسم الأول" dataDxfId="4"/>
    <tableColumn id="10" xr3:uid="{975C8E59-EC9C-4EE8-A089-AF938A00FD61}" name="نوع الاشتراك3" dataDxfId="2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E511E-4140-44D4-8506-5DEE0142CFB5}">
  <dimension ref="A1:I16"/>
  <sheetViews>
    <sheetView rightToLeft="1" zoomScale="45" zoomScaleNormal="45" workbookViewId="0">
      <selection activeCell="D9" sqref="D9"/>
    </sheetView>
  </sheetViews>
  <sheetFormatPr defaultRowHeight="35" customHeight="1" x14ac:dyDescent="0.3"/>
  <cols>
    <col min="1" max="1" width="15.4140625" bestFit="1" customWidth="1"/>
    <col min="2" max="2" width="13.1640625" customWidth="1"/>
    <col min="3" max="3" width="18.1640625" customWidth="1"/>
    <col min="4" max="4" width="13.1640625" bestFit="1" customWidth="1"/>
    <col min="5" max="5" width="17.08203125" customWidth="1"/>
  </cols>
  <sheetData>
    <row r="1" spans="1:9" ht="35" customHeight="1" thickBot="1" x14ac:dyDescent="0.35">
      <c r="A1" s="3" t="s">
        <v>0</v>
      </c>
      <c r="B1" s="4" t="s">
        <v>1</v>
      </c>
      <c r="C1" s="4" t="s">
        <v>25</v>
      </c>
      <c r="D1" s="5" t="s">
        <v>2</v>
      </c>
      <c r="E1" s="6" t="s">
        <v>3</v>
      </c>
      <c r="F1" s="4" t="s">
        <v>27</v>
      </c>
      <c r="G1" s="4" t="s">
        <v>26</v>
      </c>
      <c r="H1" s="4" t="s">
        <v>51</v>
      </c>
      <c r="I1" s="4" t="s">
        <v>52</v>
      </c>
    </row>
    <row r="2" spans="1:9" ht="35" customHeight="1" thickBot="1" x14ac:dyDescent="0.35">
      <c r="A2" s="2">
        <v>1009</v>
      </c>
      <c r="B2" s="1" t="s">
        <v>14</v>
      </c>
      <c r="C2" s="1" t="s">
        <v>10</v>
      </c>
      <c r="D2" s="1">
        <v>501122334</v>
      </c>
      <c r="E2" s="7">
        <v>7</v>
      </c>
      <c r="F2" s="4" t="s">
        <v>28</v>
      </c>
      <c r="G2" s="4" t="s">
        <v>29</v>
      </c>
      <c r="H2" s="4" t="s">
        <v>10</v>
      </c>
      <c r="I2" s="4">
        <v>3</v>
      </c>
    </row>
    <row r="3" spans="1:9" ht="35" customHeight="1" thickBot="1" x14ac:dyDescent="0.35">
      <c r="A3" s="2">
        <v>1007</v>
      </c>
      <c r="B3" s="1" t="s">
        <v>12</v>
      </c>
      <c r="C3" s="1" t="s">
        <v>17</v>
      </c>
      <c r="D3" s="1">
        <v>556677889</v>
      </c>
      <c r="E3" s="7">
        <v>6</v>
      </c>
      <c r="F3" s="1" t="s">
        <v>30</v>
      </c>
      <c r="G3" s="1" t="s">
        <v>31</v>
      </c>
      <c r="H3" s="4" t="s">
        <v>17</v>
      </c>
      <c r="I3" s="4">
        <v>5</v>
      </c>
    </row>
    <row r="4" spans="1:9" ht="35" customHeight="1" thickBot="1" x14ac:dyDescent="0.35">
      <c r="A4" s="2">
        <v>1018</v>
      </c>
      <c r="B4" s="1" t="s">
        <v>22</v>
      </c>
      <c r="C4" s="1" t="s">
        <v>5</v>
      </c>
      <c r="D4" s="1">
        <v>506677889</v>
      </c>
      <c r="E4" s="7">
        <v>6</v>
      </c>
      <c r="F4" s="1" t="s">
        <v>32</v>
      </c>
      <c r="G4" s="1" t="s">
        <v>33</v>
      </c>
      <c r="H4" s="4"/>
      <c r="I4" s="4">
        <v>3</v>
      </c>
    </row>
    <row r="5" spans="1:9" ht="35" customHeight="1" thickBot="1" x14ac:dyDescent="0.35">
      <c r="A5" s="2">
        <v>1002</v>
      </c>
      <c r="B5" s="1" t="s">
        <v>6</v>
      </c>
      <c r="C5" s="1" t="s">
        <v>7</v>
      </c>
      <c r="D5" s="1">
        <v>549876543</v>
      </c>
      <c r="E5" s="7">
        <v>5</v>
      </c>
      <c r="F5" s="1" t="s">
        <v>34</v>
      </c>
      <c r="G5" s="1" t="s">
        <v>35</v>
      </c>
      <c r="H5" s="4"/>
      <c r="I5" s="4"/>
    </row>
    <row r="6" spans="1:9" ht="35" customHeight="1" thickBot="1" x14ac:dyDescent="0.35">
      <c r="A6" s="2">
        <v>1015</v>
      </c>
      <c r="B6" s="1" t="s">
        <v>19</v>
      </c>
      <c r="C6" s="1" t="s">
        <v>7</v>
      </c>
      <c r="D6" s="1">
        <v>509988776</v>
      </c>
      <c r="E6" s="7">
        <v>5</v>
      </c>
      <c r="F6" s="1" t="s">
        <v>36</v>
      </c>
      <c r="G6" s="1" t="s">
        <v>30</v>
      </c>
      <c r="H6" s="4"/>
      <c r="I6" s="4"/>
    </row>
    <row r="7" spans="1:9" ht="35" customHeight="1" thickBot="1" x14ac:dyDescent="0.35">
      <c r="A7" s="2">
        <v>1004</v>
      </c>
      <c r="B7" s="1" t="s">
        <v>9</v>
      </c>
      <c r="C7" s="1" t="s">
        <v>10</v>
      </c>
      <c r="D7" s="1">
        <v>534455667</v>
      </c>
      <c r="E7" s="7">
        <v>4</v>
      </c>
      <c r="F7" s="1" t="s">
        <v>37</v>
      </c>
      <c r="G7" s="1" t="s">
        <v>38</v>
      </c>
      <c r="H7" s="4"/>
      <c r="I7" s="4"/>
    </row>
    <row r="8" spans="1:9" ht="35" customHeight="1" thickBot="1" x14ac:dyDescent="0.35">
      <c r="A8" s="2">
        <v>1011</v>
      </c>
      <c r="B8" s="1" t="s">
        <v>15</v>
      </c>
      <c r="C8" s="1" t="s">
        <v>5</v>
      </c>
      <c r="D8" s="1">
        <v>559988776</v>
      </c>
      <c r="E8" s="7">
        <v>4</v>
      </c>
      <c r="F8" s="1" t="s">
        <v>33</v>
      </c>
      <c r="G8" s="1" t="s">
        <v>39</v>
      </c>
      <c r="H8" s="4"/>
      <c r="I8" s="4"/>
    </row>
    <row r="9" spans="1:9" ht="35" customHeight="1" thickBot="1" x14ac:dyDescent="0.35">
      <c r="A9" s="2">
        <v>1017</v>
      </c>
      <c r="B9" s="1" t="s">
        <v>20</v>
      </c>
      <c r="C9" s="1" t="s">
        <v>24</v>
      </c>
      <c r="D9" s="1">
        <v>539876543</v>
      </c>
      <c r="E9" s="7">
        <v>4</v>
      </c>
      <c r="F9" s="1" t="s">
        <v>40</v>
      </c>
      <c r="G9" s="1" t="s">
        <v>31</v>
      </c>
      <c r="H9" s="4"/>
      <c r="I9" s="4"/>
    </row>
    <row r="10" spans="1:9" ht="35" customHeight="1" thickBot="1" x14ac:dyDescent="0.35">
      <c r="A10" s="2">
        <v>1001</v>
      </c>
      <c r="B10" s="1" t="s">
        <v>4</v>
      </c>
      <c r="C10" s="1" t="s">
        <v>5</v>
      </c>
      <c r="D10" s="1">
        <v>551234567</v>
      </c>
      <c r="E10" s="7">
        <v>3</v>
      </c>
      <c r="F10" s="1" t="s">
        <v>38</v>
      </c>
      <c r="G10" s="1" t="s">
        <v>41</v>
      </c>
      <c r="H10" s="4"/>
      <c r="I10" s="4"/>
    </row>
    <row r="11" spans="1:9" ht="35" customHeight="1" thickBot="1" x14ac:dyDescent="0.35">
      <c r="A11" s="2">
        <v>1003</v>
      </c>
      <c r="B11" s="1" t="s">
        <v>8</v>
      </c>
      <c r="C11" s="1" t="s">
        <v>5</v>
      </c>
      <c r="D11" s="1">
        <v>561112233</v>
      </c>
      <c r="E11" s="7">
        <v>2</v>
      </c>
      <c r="F11" s="1" t="s">
        <v>31</v>
      </c>
      <c r="G11" s="1" t="s">
        <v>43</v>
      </c>
      <c r="H11" s="4"/>
      <c r="I11" s="4"/>
    </row>
    <row r="12" spans="1:9" ht="35" customHeight="1" thickBot="1" x14ac:dyDescent="0.35">
      <c r="A12" s="2">
        <v>1008</v>
      </c>
      <c r="B12" s="1" t="s">
        <v>13</v>
      </c>
      <c r="C12" s="1" t="s">
        <v>21</v>
      </c>
      <c r="D12" s="1">
        <v>547788990</v>
      </c>
      <c r="E12" s="7">
        <v>2</v>
      </c>
      <c r="F12" s="1" t="s">
        <v>44</v>
      </c>
      <c r="G12" s="1" t="s">
        <v>45</v>
      </c>
      <c r="H12" s="4"/>
      <c r="I12" s="4"/>
    </row>
    <row r="13" spans="1:9" ht="35" customHeight="1" thickBot="1" x14ac:dyDescent="0.35">
      <c r="A13" s="2">
        <v>1012</v>
      </c>
      <c r="B13" s="1" t="s">
        <v>16</v>
      </c>
      <c r="C13" s="1" t="s">
        <v>24</v>
      </c>
      <c r="D13" s="1">
        <v>533344556</v>
      </c>
      <c r="E13" s="7">
        <v>2</v>
      </c>
      <c r="F13" s="1" t="s">
        <v>46</v>
      </c>
      <c r="G13" s="1" t="s">
        <v>41</v>
      </c>
      <c r="H13" s="4"/>
      <c r="I13" s="4"/>
    </row>
    <row r="14" spans="1:9" ht="35" customHeight="1" thickBot="1" x14ac:dyDescent="0.35">
      <c r="A14" s="2">
        <v>1019</v>
      </c>
      <c r="B14" s="1" t="s">
        <v>23</v>
      </c>
      <c r="C14" s="1" t="s">
        <v>7</v>
      </c>
      <c r="D14" s="1">
        <v>545566778</v>
      </c>
      <c r="E14" s="7">
        <v>2</v>
      </c>
      <c r="F14" s="1" t="s">
        <v>47</v>
      </c>
      <c r="G14" s="1" t="s">
        <v>29</v>
      </c>
      <c r="H14" s="4"/>
      <c r="I14" s="4"/>
    </row>
    <row r="15" spans="1:9" ht="35" customHeight="1" thickBot="1" x14ac:dyDescent="0.35">
      <c r="A15" s="2">
        <v>1006</v>
      </c>
      <c r="B15" s="1" t="s">
        <v>11</v>
      </c>
      <c r="C15" s="1" t="s">
        <v>7</v>
      </c>
      <c r="D15" s="1">
        <v>502233445</v>
      </c>
      <c r="E15" s="7">
        <v>1</v>
      </c>
      <c r="F15" s="1" t="s">
        <v>48</v>
      </c>
      <c r="G15" s="1" t="s">
        <v>33</v>
      </c>
      <c r="H15" s="4"/>
      <c r="I15" s="4"/>
    </row>
    <row r="16" spans="1:9" ht="35" customHeight="1" thickBot="1" x14ac:dyDescent="0.35">
      <c r="A16" s="2">
        <v>1014</v>
      </c>
      <c r="B16" s="1" t="s">
        <v>18</v>
      </c>
      <c r="C16" s="1" t="s">
        <v>10</v>
      </c>
      <c r="D16" s="1">
        <v>554433221</v>
      </c>
      <c r="E16" s="7">
        <v>1</v>
      </c>
      <c r="F16" s="8" t="s">
        <v>49</v>
      </c>
      <c r="G16" s="8" t="s">
        <v>50</v>
      </c>
      <c r="H16" s="4"/>
      <c r="I16" s="4"/>
    </row>
  </sheetData>
  <conditionalFormatting sqref="D2:D16">
    <cfRule type="expression" dxfId="1" priority="1">
      <formula>LEN(D2)&lt;9</formula>
    </cfRule>
  </conditionalFormatting>
  <dataValidations count="1">
    <dataValidation type="list" allowBlank="1" showInputMessage="1" showErrorMessage="1" sqref="I2:I16" xr:uid="{4DD97A8D-946A-4EC3-A2A4-9E95A8B8CD0C}">
      <formula1>"1,2,3,4,5"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74525B5-3B45-4586-A7F8-EDED22724EDB}">
          <x14:formula1>
            <xm:f>ورقة2!$A$1:$A$16</xm:f>
          </x14:formula1>
          <xm:sqref>H2:H16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59AC0-D287-4966-BC15-29836F368757}">
  <dimension ref="A1:H17"/>
  <sheetViews>
    <sheetView rightToLeft="1" zoomScale="67" workbookViewId="0">
      <selection activeCell="E3" sqref="E3"/>
    </sheetView>
  </sheetViews>
  <sheetFormatPr defaultRowHeight="14" x14ac:dyDescent="0.3"/>
  <cols>
    <col min="1" max="1" width="14.4140625" customWidth="1"/>
    <col min="2" max="3" width="10.58203125" customWidth="1"/>
    <col min="4" max="4" width="11.33203125" customWidth="1"/>
    <col min="5" max="5" width="15.83203125" customWidth="1"/>
    <col min="6" max="6" width="10.9140625" customWidth="1"/>
    <col min="7" max="7" width="11.9140625" customWidth="1"/>
  </cols>
  <sheetData>
    <row r="1" spans="1:8" ht="31.5" thickBot="1" x14ac:dyDescent="0.35">
      <c r="A1" s="12" t="s">
        <v>53</v>
      </c>
      <c r="B1" s="13" t="s">
        <v>54</v>
      </c>
      <c r="C1" s="13" t="s">
        <v>61</v>
      </c>
      <c r="D1" s="13" t="s">
        <v>55</v>
      </c>
      <c r="E1" s="13" t="s">
        <v>2</v>
      </c>
      <c r="F1" s="14" t="s">
        <v>56</v>
      </c>
      <c r="G1" s="13" t="s">
        <v>27</v>
      </c>
      <c r="H1" s="13" t="s">
        <v>62</v>
      </c>
    </row>
    <row r="2" spans="1:8" ht="16" thickBot="1" x14ac:dyDescent="0.35">
      <c r="A2" s="10">
        <v>1008</v>
      </c>
      <c r="B2" s="9" t="s">
        <v>44</v>
      </c>
      <c r="C2" s="9" t="s">
        <v>45</v>
      </c>
      <c r="D2" s="9" t="s">
        <v>58</v>
      </c>
      <c r="E2" s="9">
        <v>547788990</v>
      </c>
      <c r="F2" s="11">
        <v>30</v>
      </c>
      <c r="G2" s="16" t="s">
        <v>44</v>
      </c>
      <c r="H2" s="16" t="s">
        <v>58</v>
      </c>
    </row>
    <row r="3" spans="1:8" ht="16" thickBot="1" x14ac:dyDescent="0.35">
      <c r="A3" s="10">
        <v>1017</v>
      </c>
      <c r="B3" s="9" t="s">
        <v>40</v>
      </c>
      <c r="C3" s="9" t="s">
        <v>31</v>
      </c>
      <c r="D3" s="9" t="s">
        <v>58</v>
      </c>
      <c r="E3" s="9">
        <v>539876543</v>
      </c>
      <c r="F3" s="11">
        <v>28</v>
      </c>
      <c r="G3" s="9" t="s">
        <v>40</v>
      </c>
      <c r="H3" s="16" t="s">
        <v>58</v>
      </c>
    </row>
    <row r="4" spans="1:8" ht="16" thickBot="1" x14ac:dyDescent="0.35">
      <c r="A4" s="10">
        <v>1012</v>
      </c>
      <c r="B4" s="9" t="s">
        <v>46</v>
      </c>
      <c r="C4" s="9" t="s">
        <v>41</v>
      </c>
      <c r="D4" s="9" t="s">
        <v>58</v>
      </c>
      <c r="E4" s="9">
        <v>533344556</v>
      </c>
      <c r="F4" s="11">
        <v>27</v>
      </c>
      <c r="G4" s="9" t="s">
        <v>46</v>
      </c>
      <c r="H4" s="16" t="s">
        <v>58</v>
      </c>
    </row>
    <row r="5" spans="1:8" ht="16" thickBot="1" x14ac:dyDescent="0.35">
      <c r="A5" s="10">
        <v>1002</v>
      </c>
      <c r="B5" s="9" t="s">
        <v>34</v>
      </c>
      <c r="C5" s="9" t="s">
        <v>35</v>
      </c>
      <c r="D5" s="9" t="s">
        <v>58</v>
      </c>
      <c r="E5" s="9">
        <v>549876543</v>
      </c>
      <c r="F5" s="11">
        <v>25</v>
      </c>
      <c r="G5" s="9" t="s">
        <v>34</v>
      </c>
      <c r="H5" s="16" t="s">
        <v>58</v>
      </c>
    </row>
    <row r="6" spans="1:8" ht="16" thickBot="1" x14ac:dyDescent="0.35">
      <c r="A6" s="10">
        <v>1019</v>
      </c>
      <c r="B6" s="9" t="s">
        <v>47</v>
      </c>
      <c r="C6" s="9" t="s">
        <v>29</v>
      </c>
      <c r="D6" s="9" t="s">
        <v>58</v>
      </c>
      <c r="E6" s="9">
        <v>545566778</v>
      </c>
      <c r="F6" s="11">
        <v>24</v>
      </c>
      <c r="G6" s="9" t="s">
        <v>47</v>
      </c>
      <c r="H6" s="16" t="s">
        <v>58</v>
      </c>
    </row>
    <row r="7" spans="1:8" ht="16" thickBot="1" x14ac:dyDescent="0.35">
      <c r="A7" s="10">
        <v>1006</v>
      </c>
      <c r="B7" s="9" t="s">
        <v>48</v>
      </c>
      <c r="C7" s="9" t="s">
        <v>33</v>
      </c>
      <c r="D7" s="9" t="s">
        <v>60</v>
      </c>
      <c r="E7" s="9">
        <v>502233445</v>
      </c>
      <c r="F7" s="11">
        <v>22</v>
      </c>
      <c r="G7" s="9" t="s">
        <v>48</v>
      </c>
      <c r="H7" s="16" t="s">
        <v>58</v>
      </c>
    </row>
    <row r="8" spans="1:8" ht="16" thickBot="1" x14ac:dyDescent="0.35">
      <c r="A8" s="10">
        <v>1015</v>
      </c>
      <c r="B8" s="9" t="s">
        <v>36</v>
      </c>
      <c r="C8" s="9" t="s">
        <v>30</v>
      </c>
      <c r="D8" s="9" t="s">
        <v>60</v>
      </c>
      <c r="E8" s="9">
        <v>509988776</v>
      </c>
      <c r="F8" s="11">
        <v>20</v>
      </c>
      <c r="G8" s="9" t="s">
        <v>36</v>
      </c>
      <c r="H8" s="16" t="s">
        <v>58</v>
      </c>
    </row>
    <row r="9" spans="1:8" ht="16" hidden="1" thickBot="1" x14ac:dyDescent="0.35">
      <c r="A9" s="10">
        <v>1007</v>
      </c>
      <c r="B9" s="9" t="s">
        <v>30</v>
      </c>
      <c r="C9" s="9" t="s">
        <v>31</v>
      </c>
      <c r="D9" s="9" t="s">
        <v>57</v>
      </c>
      <c r="E9" s="9">
        <v>556677889</v>
      </c>
      <c r="F9" s="11">
        <v>18</v>
      </c>
      <c r="G9" s="9" t="s">
        <v>30</v>
      </c>
      <c r="H9" s="9"/>
    </row>
    <row r="10" spans="1:8" ht="16" hidden="1" thickBot="1" x14ac:dyDescent="0.35">
      <c r="A10" s="10">
        <v>1018</v>
      </c>
      <c r="B10" s="9" t="s">
        <v>32</v>
      </c>
      <c r="C10" s="9" t="s">
        <v>33</v>
      </c>
      <c r="D10" s="9" t="s">
        <v>57</v>
      </c>
      <c r="E10" s="9">
        <v>506677889</v>
      </c>
      <c r="F10" s="11">
        <v>16</v>
      </c>
      <c r="G10" s="9" t="s">
        <v>32</v>
      </c>
      <c r="H10" s="9"/>
    </row>
    <row r="11" spans="1:8" ht="16" hidden="1" thickBot="1" x14ac:dyDescent="0.35">
      <c r="A11" s="10">
        <v>1004</v>
      </c>
      <c r="B11" s="9" t="s">
        <v>37</v>
      </c>
      <c r="C11" s="9" t="s">
        <v>38</v>
      </c>
      <c r="D11" s="9" t="s">
        <v>59</v>
      </c>
      <c r="E11" s="9">
        <v>534455667</v>
      </c>
      <c r="F11" s="11">
        <v>15</v>
      </c>
      <c r="G11" s="9" t="s">
        <v>37</v>
      </c>
      <c r="H11" s="9"/>
    </row>
    <row r="12" spans="1:8" ht="16" hidden="1" thickBot="1" x14ac:dyDescent="0.35">
      <c r="A12" s="10">
        <v>1014</v>
      </c>
      <c r="B12" s="9" t="s">
        <v>49</v>
      </c>
      <c r="C12" s="9" t="s">
        <v>50</v>
      </c>
      <c r="D12" s="9" t="s">
        <v>57</v>
      </c>
      <c r="E12" s="9">
        <v>554433221</v>
      </c>
      <c r="F12" s="11">
        <v>14</v>
      </c>
      <c r="G12" s="9" t="s">
        <v>49</v>
      </c>
      <c r="H12" s="9"/>
    </row>
    <row r="13" spans="1:8" ht="16" hidden="1" thickBot="1" x14ac:dyDescent="0.35">
      <c r="A13" s="10">
        <v>1001</v>
      </c>
      <c r="B13" s="9" t="s">
        <v>38</v>
      </c>
      <c r="C13" s="9" t="s">
        <v>41</v>
      </c>
      <c r="D13" s="9" t="s">
        <v>57</v>
      </c>
      <c r="E13" s="9">
        <v>551234567</v>
      </c>
      <c r="F13" s="11">
        <v>12</v>
      </c>
      <c r="G13" s="9" t="s">
        <v>38</v>
      </c>
      <c r="H13" s="9"/>
    </row>
    <row r="14" spans="1:8" ht="16" hidden="1" thickBot="1" x14ac:dyDescent="0.35">
      <c r="A14" s="10">
        <v>1013</v>
      </c>
      <c r="B14" s="9" t="s">
        <v>41</v>
      </c>
      <c r="C14" s="9" t="s">
        <v>42</v>
      </c>
      <c r="D14" s="9" t="s">
        <v>59</v>
      </c>
      <c r="E14" s="9">
        <v>54123456</v>
      </c>
      <c r="F14" s="11">
        <v>11</v>
      </c>
      <c r="G14" s="9" t="s">
        <v>41</v>
      </c>
      <c r="H14" s="9"/>
    </row>
    <row r="15" spans="1:8" ht="16" hidden="1" thickBot="1" x14ac:dyDescent="0.35">
      <c r="A15" s="10">
        <v>1009</v>
      </c>
      <c r="B15" s="9" t="s">
        <v>28</v>
      </c>
      <c r="C15" s="9" t="s">
        <v>29</v>
      </c>
      <c r="D15" s="9" t="s">
        <v>59</v>
      </c>
      <c r="E15" s="9">
        <v>501122334</v>
      </c>
      <c r="F15" s="11">
        <v>10</v>
      </c>
      <c r="G15" s="9" t="s">
        <v>28</v>
      </c>
      <c r="H15" s="9"/>
    </row>
    <row r="16" spans="1:8" ht="16" hidden="1" thickBot="1" x14ac:dyDescent="0.35">
      <c r="A16" s="10">
        <v>1011</v>
      </c>
      <c r="B16" s="9" t="s">
        <v>33</v>
      </c>
      <c r="C16" s="9" t="s">
        <v>39</v>
      </c>
      <c r="D16" s="9" t="s">
        <v>57</v>
      </c>
      <c r="E16" s="9">
        <v>559988776</v>
      </c>
      <c r="F16" s="11">
        <v>9</v>
      </c>
      <c r="G16" s="9" t="s">
        <v>33</v>
      </c>
      <c r="H16" s="9"/>
    </row>
    <row r="17" spans="1:8" ht="16" hidden="1" thickBot="1" x14ac:dyDescent="0.35">
      <c r="A17" s="10">
        <v>1003</v>
      </c>
      <c r="B17" s="9" t="s">
        <v>31</v>
      </c>
      <c r="C17" s="9" t="s">
        <v>43</v>
      </c>
      <c r="D17" s="9" t="s">
        <v>57</v>
      </c>
      <c r="E17" s="9">
        <v>561112233</v>
      </c>
      <c r="F17" s="11">
        <v>8</v>
      </c>
      <c r="G17" s="9" t="s">
        <v>31</v>
      </c>
      <c r="H17" s="15"/>
    </row>
  </sheetData>
  <phoneticPr fontId="4" type="noConversion"/>
  <conditionalFormatting sqref="E2:E8">
    <cfRule type="expression" dxfId="0" priority="1">
      <formula>LEN(E2)&lt;9</formula>
    </cfRule>
  </conditionalFormatting>
  <dataValidations count="1">
    <dataValidation type="list" allowBlank="1" showInputMessage="1" showErrorMessage="1" sqref="H2:H8" xr:uid="{6BEA0201-1045-46DB-A933-7FC0F66FBE9E}">
      <formula1>"سنوي,ربع سنوي,شهري"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3FC91-37B0-444C-8D0B-495C3B7709D9}">
  <dimension ref="A1:J23"/>
  <sheetViews>
    <sheetView rightToLeft="1" tabSelected="1" zoomScale="67" zoomScaleNormal="115" workbookViewId="0">
      <selection activeCell="D22" sqref="D22"/>
    </sheetView>
  </sheetViews>
  <sheetFormatPr defaultRowHeight="14" x14ac:dyDescent="0.3"/>
  <cols>
    <col min="2" max="2" width="12" customWidth="1"/>
    <col min="3" max="3" width="13.58203125" customWidth="1"/>
    <col min="7" max="7" width="11" customWidth="1"/>
    <col min="8" max="8" width="8.6640625" customWidth="1"/>
    <col min="9" max="10" width="17" customWidth="1"/>
  </cols>
  <sheetData>
    <row r="1" spans="1:10" ht="28" x14ac:dyDescent="0.3">
      <c r="A1" s="20" t="s">
        <v>63</v>
      </c>
      <c r="B1" s="20" t="s">
        <v>64</v>
      </c>
      <c r="C1" s="20" t="s">
        <v>65</v>
      </c>
      <c r="D1" s="20" t="s">
        <v>66</v>
      </c>
      <c r="E1" s="20" t="s">
        <v>67</v>
      </c>
      <c r="F1" s="23" t="s">
        <v>77</v>
      </c>
      <c r="G1" s="24" t="s">
        <v>78</v>
      </c>
      <c r="H1" s="23" t="s">
        <v>71</v>
      </c>
      <c r="I1" s="31" t="s">
        <v>76</v>
      </c>
      <c r="J1" s="32"/>
    </row>
    <row r="2" spans="1:10" x14ac:dyDescent="0.3">
      <c r="A2" s="20" t="s">
        <v>38</v>
      </c>
      <c r="B2" s="20" t="s">
        <v>68</v>
      </c>
      <c r="C2" s="20">
        <v>180</v>
      </c>
      <c r="D2" s="22">
        <v>0.95</v>
      </c>
      <c r="E2" s="20">
        <v>4</v>
      </c>
      <c r="F2" s="21" t="str">
        <f>IF(D2&gt;=90%,"متميز","يحتاج تطوير")</f>
        <v>متميز</v>
      </c>
      <c r="G2" s="21" t="str">
        <f>IF(AND(C2&gt;=150,D2&gt;=90%),"يستحق المكافأة","لايستحق المكافأه")</f>
        <v>يستحق المكافأة</v>
      </c>
      <c r="H2" s="21" t="str">
        <f>IF(OR(E2&gt;=5,D2&gt;=97%),"مرشح","غير مرشح")</f>
        <v>غير مرشح</v>
      </c>
      <c r="I2" s="34">
        <f>C2/E2</f>
        <v>45</v>
      </c>
      <c r="J2" s="33"/>
    </row>
    <row r="3" spans="1:10" x14ac:dyDescent="0.3">
      <c r="A3" s="20" t="s">
        <v>34</v>
      </c>
      <c r="B3" s="20" t="s">
        <v>69</v>
      </c>
      <c r="C3" s="20">
        <v>120</v>
      </c>
      <c r="D3" s="22">
        <v>0.88</v>
      </c>
      <c r="E3" s="20">
        <v>2</v>
      </c>
      <c r="F3" s="21" t="str">
        <f t="shared" ref="F3:F11" si="0">IF(D3&gt;=90%,"متميز","يحتاج تطوير")</f>
        <v>يحتاج تطوير</v>
      </c>
      <c r="G3" s="21" t="str">
        <f t="shared" ref="G3:G11" si="1">IF(AND(C3&gt;=150,D3&gt;=90%),"يستحق المكافأة","لايستحق المكافأه")</f>
        <v>لايستحق المكافأه</v>
      </c>
      <c r="H3" s="21" t="str">
        <f t="shared" ref="H3:H11" si="2">IF(OR(E3&gt;=5,D3&gt;=97%),"مرشح","غير مرشح")</f>
        <v>غير مرشح</v>
      </c>
      <c r="I3" s="34">
        <f>C3/E3</f>
        <v>60</v>
      </c>
      <c r="J3" s="33"/>
    </row>
    <row r="4" spans="1:10" x14ac:dyDescent="0.3">
      <c r="A4" s="20" t="s">
        <v>31</v>
      </c>
      <c r="B4" s="20" t="s">
        <v>68</v>
      </c>
      <c r="C4" s="20">
        <v>210</v>
      </c>
      <c r="D4" s="22">
        <v>0.97</v>
      </c>
      <c r="E4" s="20">
        <v>5</v>
      </c>
      <c r="F4" s="21" t="str">
        <f t="shared" si="0"/>
        <v>متميز</v>
      </c>
      <c r="G4" s="21" t="str">
        <f t="shared" si="1"/>
        <v>يستحق المكافأة</v>
      </c>
      <c r="H4" s="21" t="str">
        <f t="shared" si="2"/>
        <v>مرشح</v>
      </c>
      <c r="I4" s="34">
        <f t="shared" ref="I4:I11" si="3">C4/E4</f>
        <v>42</v>
      </c>
      <c r="J4" s="33"/>
    </row>
    <row r="5" spans="1:10" x14ac:dyDescent="0.3">
      <c r="A5" s="20" t="s">
        <v>37</v>
      </c>
      <c r="B5" s="20" t="s">
        <v>70</v>
      </c>
      <c r="C5" s="20">
        <v>90</v>
      </c>
      <c r="D5" s="22">
        <v>0.85</v>
      </c>
      <c r="E5" s="20">
        <v>1</v>
      </c>
      <c r="F5" s="21" t="str">
        <f t="shared" si="0"/>
        <v>يحتاج تطوير</v>
      </c>
      <c r="G5" s="21" t="str">
        <f t="shared" si="1"/>
        <v>لايستحق المكافأه</v>
      </c>
      <c r="H5" s="21" t="str">
        <f t="shared" si="2"/>
        <v>غير مرشح</v>
      </c>
      <c r="I5" s="34">
        <f t="shared" si="3"/>
        <v>90</v>
      </c>
      <c r="J5" s="33"/>
    </row>
    <row r="6" spans="1:10" x14ac:dyDescent="0.3">
      <c r="A6" s="20" t="s">
        <v>30</v>
      </c>
      <c r="B6" s="20" t="s">
        <v>69</v>
      </c>
      <c r="C6" s="20">
        <v>160</v>
      </c>
      <c r="D6" s="22">
        <v>0.92</v>
      </c>
      <c r="E6" s="20">
        <v>3</v>
      </c>
      <c r="F6" s="21" t="str">
        <f t="shared" si="0"/>
        <v>متميز</v>
      </c>
      <c r="G6" s="21" t="str">
        <f t="shared" si="1"/>
        <v>يستحق المكافأة</v>
      </c>
      <c r="H6" s="21" t="str">
        <f t="shared" si="2"/>
        <v>غير مرشح</v>
      </c>
      <c r="I6" s="34">
        <f t="shared" si="3"/>
        <v>53.333333333333336</v>
      </c>
      <c r="J6" s="33"/>
    </row>
    <row r="7" spans="1:10" x14ac:dyDescent="0.3">
      <c r="A7" s="20" t="s">
        <v>48</v>
      </c>
      <c r="B7" s="20" t="s">
        <v>68</v>
      </c>
      <c r="C7" s="20">
        <v>140</v>
      </c>
      <c r="D7" s="22">
        <v>0.89</v>
      </c>
      <c r="E7" s="20">
        <v>2</v>
      </c>
      <c r="F7" s="21" t="str">
        <f t="shared" si="0"/>
        <v>يحتاج تطوير</v>
      </c>
      <c r="G7" s="21" t="str">
        <f t="shared" si="1"/>
        <v>لايستحق المكافأه</v>
      </c>
      <c r="H7" s="21" t="str">
        <f t="shared" si="2"/>
        <v>غير مرشح</v>
      </c>
      <c r="I7" s="34">
        <f t="shared" si="3"/>
        <v>70</v>
      </c>
      <c r="J7" s="33"/>
    </row>
    <row r="8" spans="1:10" x14ac:dyDescent="0.3">
      <c r="A8" s="20" t="s">
        <v>41</v>
      </c>
      <c r="B8" s="20" t="s">
        <v>70</v>
      </c>
      <c r="C8" s="20">
        <v>220</v>
      </c>
      <c r="D8" s="22">
        <v>0.98</v>
      </c>
      <c r="E8" s="20">
        <v>6</v>
      </c>
      <c r="F8" s="21" t="str">
        <f t="shared" si="0"/>
        <v>متميز</v>
      </c>
      <c r="G8" s="21" t="str">
        <f t="shared" si="1"/>
        <v>يستحق المكافأة</v>
      </c>
      <c r="H8" s="21" t="str">
        <f t="shared" si="2"/>
        <v>مرشح</v>
      </c>
      <c r="I8" s="34">
        <f t="shared" si="3"/>
        <v>36.666666666666664</v>
      </c>
      <c r="J8" s="33"/>
    </row>
    <row r="9" spans="1:10" x14ac:dyDescent="0.3">
      <c r="A9" s="20" t="s">
        <v>49</v>
      </c>
      <c r="B9" s="20" t="s">
        <v>69</v>
      </c>
      <c r="C9" s="20">
        <v>100</v>
      </c>
      <c r="D9" s="22">
        <v>0.8</v>
      </c>
      <c r="E9" s="20">
        <v>1</v>
      </c>
      <c r="F9" s="21" t="str">
        <f t="shared" si="0"/>
        <v>يحتاج تطوير</v>
      </c>
      <c r="G9" s="21" t="str">
        <f t="shared" si="1"/>
        <v>لايستحق المكافأه</v>
      </c>
      <c r="H9" s="21" t="str">
        <f t="shared" si="2"/>
        <v>غير مرشح</v>
      </c>
      <c r="I9" s="34">
        <f t="shared" si="3"/>
        <v>100</v>
      </c>
      <c r="J9" s="33"/>
    </row>
    <row r="10" spans="1:10" x14ac:dyDescent="0.3">
      <c r="A10" s="20" t="s">
        <v>28</v>
      </c>
      <c r="B10" s="20" t="s">
        <v>68</v>
      </c>
      <c r="C10" s="20">
        <v>175</v>
      </c>
      <c r="D10" s="22">
        <v>0.94</v>
      </c>
      <c r="E10" s="20">
        <v>4</v>
      </c>
      <c r="F10" s="21" t="str">
        <f t="shared" si="0"/>
        <v>متميز</v>
      </c>
      <c r="G10" s="21" t="str">
        <f t="shared" si="1"/>
        <v>يستحق المكافأة</v>
      </c>
      <c r="H10" s="21" t="str">
        <f t="shared" si="2"/>
        <v>غير مرشح</v>
      </c>
      <c r="I10" s="34">
        <f t="shared" si="3"/>
        <v>43.75</v>
      </c>
      <c r="J10" s="33"/>
    </row>
    <row r="11" spans="1:10" x14ac:dyDescent="0.3">
      <c r="A11" s="20" t="s">
        <v>47</v>
      </c>
      <c r="B11" s="20" t="s">
        <v>70</v>
      </c>
      <c r="C11" s="20">
        <v>130</v>
      </c>
      <c r="D11" s="22">
        <v>0.91</v>
      </c>
      <c r="E11" s="20">
        <v>3</v>
      </c>
      <c r="F11" s="21" t="str">
        <f t="shared" si="0"/>
        <v>متميز</v>
      </c>
      <c r="G11" s="21" t="str">
        <f t="shared" si="1"/>
        <v>لايستحق المكافأه</v>
      </c>
      <c r="H11" s="21" t="str">
        <f t="shared" si="2"/>
        <v>غير مرشح</v>
      </c>
      <c r="I11" s="34">
        <f t="shared" si="3"/>
        <v>43.333333333333336</v>
      </c>
      <c r="J11" s="33"/>
    </row>
    <row r="13" spans="1:10" x14ac:dyDescent="0.3">
      <c r="A13" s="19"/>
      <c r="B13" s="19"/>
      <c r="C13" s="19"/>
      <c r="D13" s="19"/>
    </row>
    <row r="14" spans="1:10" x14ac:dyDescent="0.3">
      <c r="A14" s="18"/>
      <c r="B14" s="18"/>
      <c r="C14" s="18"/>
      <c r="D14" s="19"/>
    </row>
    <row r="15" spans="1:10" x14ac:dyDescent="0.3">
      <c r="A15" s="17"/>
      <c r="B15" s="17"/>
      <c r="C15" s="17"/>
      <c r="D15" s="19"/>
    </row>
    <row r="16" spans="1:10" x14ac:dyDescent="0.3">
      <c r="A16" s="18"/>
      <c r="B16" s="18"/>
      <c r="C16" s="18"/>
      <c r="D16" s="19"/>
    </row>
    <row r="17" spans="1:4" ht="14" customHeight="1" x14ac:dyDescent="0.3">
      <c r="A17" s="25" t="s">
        <v>72</v>
      </c>
      <c r="B17" s="25"/>
      <c r="C17" s="25"/>
      <c r="D17" s="21">
        <f>COUNTIF(F1:F11,F2)</f>
        <v>6</v>
      </c>
    </row>
    <row r="18" spans="1:4" x14ac:dyDescent="0.3">
      <c r="A18" s="26" t="s">
        <v>73</v>
      </c>
      <c r="B18" s="26"/>
      <c r="C18" s="27"/>
      <c r="D18" s="21">
        <f>COUNTIFS(F1:F11,F2,B1:B11,B2)</f>
        <v>3</v>
      </c>
    </row>
    <row r="19" spans="1:4" x14ac:dyDescent="0.3">
      <c r="A19" s="35" t="s">
        <v>79</v>
      </c>
      <c r="B19" s="36"/>
      <c r="C19" s="37"/>
      <c r="D19" s="21">
        <f>SUMIF(B2:B11,B3,C2:C11)</f>
        <v>380</v>
      </c>
    </row>
    <row r="20" spans="1:4" x14ac:dyDescent="0.3">
      <c r="A20" s="28" t="s">
        <v>74</v>
      </c>
      <c r="B20" s="28"/>
      <c r="C20" s="28"/>
      <c r="D20" s="21">
        <f>SUMIF(B1:B11,B2,C1:C11)</f>
        <v>705</v>
      </c>
    </row>
    <row r="21" spans="1:4" x14ac:dyDescent="0.3">
      <c r="A21" s="35" t="s">
        <v>80</v>
      </c>
      <c r="B21" s="36"/>
      <c r="C21" s="37"/>
      <c r="D21" s="21">
        <f>SUMIF(B2:B11,B5,C2:C11)</f>
        <v>440</v>
      </c>
    </row>
    <row r="22" spans="1:4" x14ac:dyDescent="0.3">
      <c r="A22" s="28" t="s">
        <v>75</v>
      </c>
      <c r="B22" s="28"/>
      <c r="C22" s="28"/>
      <c r="D22" s="21">
        <f>SUMIFS(C2:C11,B2:B11,"الدعم الفني",D2:D11,"&gt;=90%")</f>
        <v>565</v>
      </c>
    </row>
    <row r="23" spans="1:4" x14ac:dyDescent="0.3">
      <c r="A23" s="29"/>
      <c r="B23" s="29"/>
      <c r="C23" s="29"/>
      <c r="D23" s="30"/>
    </row>
  </sheetData>
  <autoFilter ref="G1:G11" xr:uid="{12A3FC91-37B0-444C-8D0B-495C3B7709D9}"/>
  <mergeCells count="5">
    <mergeCell ref="A20:C20"/>
    <mergeCell ref="A22:C22"/>
    <mergeCell ref="A21:C21"/>
    <mergeCell ref="A19:C19"/>
    <mergeCell ref="A17:C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لانا العمري</dc:creator>
  <cp:lastModifiedBy>لانا العمري</cp:lastModifiedBy>
  <dcterms:created xsi:type="dcterms:W3CDTF">2026-10-26T17:46:23Z</dcterms:created>
  <dcterms:modified xsi:type="dcterms:W3CDTF">2026-10-26T21:12:43Z</dcterms:modified>
</cp:coreProperties>
</file>