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ba1d93a2b8fd1233/سطح المكتب/"/>
    </mc:Choice>
  </mc:AlternateContent>
  <xr:revisionPtr revIDLastSave="0" documentId="8_{9DA59EFA-6D3D-475C-9A10-3B8573DB083B}" xr6:coauthVersionLast="47" xr6:coauthVersionMax="47" xr10:uidLastSave="{00000000-0000-0000-0000-000000000000}"/>
  <bookViews>
    <workbookView xWindow="-110" yWindow="-110" windowWidth="19420" windowHeight="10300" activeTab="1" xr2:uid="{450AE1F3-4951-4A5E-B668-ADDDEAD1CC05}"/>
  </bookViews>
  <sheets>
    <sheet name="الملخصات" sheetId="2" r:id="rId1"/>
    <sheet name="Dashboard" sheetId="3" r:id="rId2"/>
    <sheet name="بيانات" sheetId="1" r:id="rId3"/>
  </sheets>
  <definedNames>
    <definedName name="مقسم_طريقة_العرض_التصنيف">#N/A</definedName>
    <definedName name="مقسم_طريقة_العرض_المدينة">#N/A</definedName>
    <definedName name="مقسم_طريقة_العرض_دار_النشر">#N/A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3" i="3" l="1"/>
  <c r="F13" i="3"/>
  <c r="C13" i="3"/>
  <c r="I6" i="3"/>
  <c r="F6" i="3"/>
  <c r="C6" i="3"/>
  <c r="K2" i="1"/>
  <c r="K4" i="1"/>
  <c r="K11" i="1"/>
  <c r="I3" i="1"/>
  <c r="I4" i="1"/>
  <c r="I5" i="1"/>
  <c r="I6" i="1"/>
  <c r="I7" i="1"/>
  <c r="I8" i="1"/>
  <c r="I9" i="1"/>
  <c r="I10" i="1"/>
  <c r="I11" i="1"/>
  <c r="I12" i="1"/>
  <c r="I13" i="1"/>
  <c r="I14" i="1"/>
  <c r="I15" i="1"/>
  <c r="I16" i="1"/>
  <c r="I17" i="1"/>
  <c r="I18" i="1"/>
  <c r="I19" i="1"/>
  <c r="I20" i="1"/>
  <c r="I21" i="1"/>
  <c r="I22" i="1"/>
  <c r="I2" i="1"/>
</calcChain>
</file>

<file path=xl/sharedStrings.xml><?xml version="1.0" encoding="utf-8"?>
<sst xmlns="http://schemas.openxmlformats.org/spreadsheetml/2006/main" count="123" uniqueCount="35">
  <si>
    <t>التاريخ</t>
  </si>
  <si>
    <t>الجناح</t>
  </si>
  <si>
    <t>دار النشر</t>
  </si>
  <si>
    <t>التصنيف</t>
  </si>
  <si>
    <t>عدد الكتب المباعة</t>
  </si>
  <si>
    <t>الإيرادات</t>
  </si>
  <si>
    <t>عدد الزوار</t>
  </si>
  <si>
    <t>المدينة</t>
  </si>
  <si>
    <t>A1</t>
  </si>
  <si>
    <t>المعرفة</t>
  </si>
  <si>
    <t>أدب</t>
  </si>
  <si>
    <t>الرياض</t>
  </si>
  <si>
    <t>A2</t>
  </si>
  <si>
    <t>الفكر</t>
  </si>
  <si>
    <t>تاريخ</t>
  </si>
  <si>
    <t>جدة</t>
  </si>
  <si>
    <t>A3</t>
  </si>
  <si>
    <t>الإبداع</t>
  </si>
  <si>
    <t>أطفال</t>
  </si>
  <si>
    <t>الدمام</t>
  </si>
  <si>
    <t>تصنيف الأداء</t>
  </si>
  <si>
    <t>أيام الأطفال</t>
  </si>
  <si>
    <t>إيرادات الأدب</t>
  </si>
  <si>
    <t>تسميات الصفوف</t>
  </si>
  <si>
    <t>الإجمالي الكلي</t>
  </si>
  <si>
    <t>مجموع من الإيرادات</t>
  </si>
  <si>
    <t>مجموع من عدد الكتب المباعة</t>
  </si>
  <si>
    <t>مجموع من عدد الزوار</t>
  </si>
  <si>
    <t>إجمالي الإيرادات:</t>
  </si>
  <si>
    <t>إجمالي الكتب المباعة:</t>
  </si>
  <si>
    <t>إجمالي الزوار:</t>
  </si>
  <si>
    <t>متوسط الزوار اليومي:</t>
  </si>
  <si>
    <t>أفضل دار نشر (من حيث الإيرادات):</t>
  </si>
  <si>
    <t>أعلى تصنيف مبيعاً:</t>
  </si>
  <si>
    <t>عدد دور النشر المشاركة: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</si>
</sst>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d\-mmm"/>
  </numFmts>
  <fonts count="4" x14ac:knownFonts="1">
    <font>
      <sz val="11"/>
      <color theme="1"/>
      <name val="Arial"/>
      <family val="2"/>
      <charset val="178"/>
      <scheme val="minor"/>
    </font>
    <font>
      <sz val="12"/>
      <color theme="1"/>
      <name val="Arial"/>
      <family val="2"/>
      <charset val="178"/>
      <scheme val="minor"/>
    </font>
    <font>
      <sz val="10"/>
      <color theme="1"/>
      <name val="Arial Unicode MS"/>
      <family val="2"/>
    </font>
    <font>
      <b/>
      <sz val="11"/>
      <color theme="1"/>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24">
    <xf numFmtId="0" fontId="0" fillId="0" borderId="0" xfId="0"/>
    <xf numFmtId="0" fontId="0" fillId="0" borderId="1" xfId="0" applyBorder="1"/>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xf>
    <xf numFmtId="0" fontId="1" fillId="2" borderId="1" xfId="0" applyFont="1" applyFill="1" applyBorder="1"/>
    <xf numFmtId="0" fontId="0" fillId="0" borderId="0" xfId="0" pivotButton="1"/>
    <xf numFmtId="0" fontId="0" fillId="0" borderId="0" xfId="0" applyAlignment="1">
      <alignment horizontal="right"/>
    </xf>
    <xf numFmtId="0" fontId="0" fillId="0" borderId="0" xfId="0" applyNumberFormat="1"/>
    <xf numFmtId="0" fontId="3" fillId="4" borderId="8"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0" borderId="0" xfId="0" applyFont="1" applyAlignment="1">
      <alignment horizontal="center" vertical="center"/>
    </xf>
    <xf numFmtId="1" fontId="3" fillId="3" borderId="2" xfId="0" applyNumberFormat="1" applyFont="1" applyFill="1" applyBorder="1" applyAlignment="1">
      <alignment horizontal="center" vertical="center"/>
    </xf>
    <xf numFmtId="1" fontId="3" fillId="3" borderId="3" xfId="0" applyNumberFormat="1" applyFont="1" applyFill="1" applyBorder="1" applyAlignment="1">
      <alignment horizontal="center" vertical="center"/>
    </xf>
    <xf numFmtId="1" fontId="3" fillId="3" borderId="4" xfId="0" applyNumberFormat="1" applyFont="1" applyFill="1" applyBorder="1" applyAlignment="1">
      <alignment horizontal="center" vertical="center"/>
    </xf>
    <xf numFmtId="1" fontId="3" fillId="3" borderId="5" xfId="0" applyNumberFormat="1" applyFont="1" applyFill="1" applyBorder="1" applyAlignment="1">
      <alignment horizontal="center" vertical="center"/>
    </xf>
    <xf numFmtId="1" fontId="3" fillId="3" borderId="6" xfId="0" applyNumberFormat="1" applyFont="1" applyFill="1" applyBorder="1" applyAlignment="1">
      <alignment horizontal="center" vertical="center"/>
    </xf>
    <xf numFmtId="1" fontId="3" fillId="3" borderId="7" xfId="0" applyNumberFormat="1" applyFont="1" applyFill="1" applyBorder="1" applyAlignment="1">
      <alignment horizontal="center"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[المشروع النهائي.xlsx]الملخصات!PivotTable1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مبيعات التصنيفات</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الملخصات!$B$1</c:f>
              <c:strCache>
                <c:ptCount val="1"/>
                <c:pt idx="0">
                  <c:v>الإجمالي</c:v>
                </c:pt>
              </c:strCache>
            </c:strRef>
          </c:tx>
          <c:spPr>
            <a:solidFill>
              <a:schemeClr val="accent1"/>
            </a:solidFill>
            <a:ln>
              <a:noFill/>
            </a:ln>
            <a:effectLst/>
          </c:spPr>
          <c:invertIfNegative val="0"/>
          <c:cat>
            <c:strRef>
              <c:f>الملخصات!$A$2:$A$5</c:f>
              <c:strCache>
                <c:ptCount val="3"/>
                <c:pt idx="0">
                  <c:v>الإبداع</c:v>
                </c:pt>
                <c:pt idx="1">
                  <c:v>الفكر</c:v>
                </c:pt>
                <c:pt idx="2">
                  <c:v>المعرفة</c:v>
                </c:pt>
              </c:strCache>
            </c:strRef>
          </c:cat>
          <c:val>
            <c:numRef>
              <c:f>الملخصات!$B$2:$B$5</c:f>
              <c:numCache>
                <c:formatCode>General</c:formatCode>
                <c:ptCount val="3"/>
                <c:pt idx="0">
                  <c:v>41100</c:v>
                </c:pt>
                <c:pt idx="1">
                  <c:v>23700</c:v>
                </c:pt>
                <c:pt idx="2">
                  <c:v>33000</c:v>
                </c:pt>
              </c:numCache>
            </c:numRef>
          </c:val>
          <c:extLst>
            <c:ext xmlns:c16="http://schemas.microsoft.com/office/drawing/2014/chart" uri="{C3380CC4-5D6E-409C-BE32-E72D297353CC}">
              <c16:uniqueId val="{00000000-D9AB-403F-BDCF-C7B4DE56BE52}"/>
            </c:ext>
          </c:extLst>
        </c:ser>
        <c:dLbls>
          <c:showLegendKey val="0"/>
          <c:showVal val="0"/>
          <c:showCatName val="0"/>
          <c:showSerName val="0"/>
          <c:showPercent val="0"/>
          <c:showBubbleSize val="0"/>
        </c:dLbls>
        <c:gapWidth val="219"/>
        <c:overlap val="-27"/>
        <c:axId val="1169108240"/>
        <c:axId val="1144319376"/>
      </c:barChart>
      <c:catAx>
        <c:axId val="11691082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44319376"/>
        <c:crosses val="autoZero"/>
        <c:auto val="1"/>
        <c:lblAlgn val="ctr"/>
        <c:lblOffset val="100"/>
        <c:noMultiLvlLbl val="0"/>
      </c:catAx>
      <c:valAx>
        <c:axId val="114431937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6910824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[المشروع النهائي.xlsx]الملخصات!PivotTable2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ايرادات دور النشر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الملخصات!$E$1</c:f>
              <c:strCache>
                <c:ptCount val="1"/>
                <c:pt idx="0">
                  <c:v>الإجمالي</c:v>
                </c:pt>
              </c:strCache>
            </c:strRef>
          </c:tx>
          <c:spPr>
            <a:solidFill>
              <a:schemeClr val="accent1"/>
            </a:solidFill>
            <a:ln>
              <a:noFill/>
            </a:ln>
            <a:effectLst/>
          </c:spPr>
          <c:invertIfNegative val="0"/>
          <c:cat>
            <c:strRef>
              <c:f>الملخصات!$D$2:$D$5</c:f>
              <c:strCache>
                <c:ptCount val="3"/>
                <c:pt idx="0">
                  <c:v>أدب</c:v>
                </c:pt>
                <c:pt idx="1">
                  <c:v>أطفال</c:v>
                </c:pt>
                <c:pt idx="2">
                  <c:v>تاريخ</c:v>
                </c:pt>
              </c:strCache>
            </c:strRef>
          </c:cat>
          <c:val>
            <c:numRef>
              <c:f>الملخصات!$E$2:$E$5</c:f>
              <c:numCache>
                <c:formatCode>General</c:formatCode>
                <c:ptCount val="3"/>
                <c:pt idx="0">
                  <c:v>1100</c:v>
                </c:pt>
                <c:pt idx="1">
                  <c:v>1370</c:v>
                </c:pt>
                <c:pt idx="2">
                  <c:v>790</c:v>
                </c:pt>
              </c:numCache>
            </c:numRef>
          </c:val>
          <c:extLst>
            <c:ext xmlns:c16="http://schemas.microsoft.com/office/drawing/2014/chart" uri="{C3380CC4-5D6E-409C-BE32-E72D297353CC}">
              <c16:uniqueId val="{00000000-70B4-4824-BB1F-C9E21991F9BA}"/>
            </c:ext>
          </c:extLst>
        </c:ser>
        <c:dLbls>
          <c:showLegendKey val="0"/>
          <c:showVal val="0"/>
          <c:showCatName val="0"/>
          <c:showSerName val="0"/>
          <c:showPercent val="0"/>
          <c:showBubbleSize val="0"/>
        </c:dLbls>
        <c:gapWidth val="219"/>
        <c:overlap val="-27"/>
        <c:axId val="1164467936"/>
        <c:axId val="1144260816"/>
      </c:barChart>
      <c:catAx>
        <c:axId val="116446793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44260816"/>
        <c:crosses val="autoZero"/>
        <c:auto val="1"/>
        <c:lblAlgn val="ctr"/>
        <c:lblOffset val="100"/>
        <c:noMultiLvlLbl val="0"/>
      </c:catAx>
      <c:valAx>
        <c:axId val="11442608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644679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[المشروع النهائي.xlsx]الملخصات!PivotTable3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مقارنة مبيعات</a:t>
            </a:r>
            <a:r>
              <a:rPr lang="ar-SA" baseline="0"/>
              <a:t> المدن</a:t>
            </a:r>
            <a:endParaRPr lang="ar-S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الملخصات!$H$1</c:f>
              <c:strCache>
                <c:ptCount val="1"/>
                <c:pt idx="0">
                  <c:v>الإجمالي</c:v>
                </c:pt>
              </c:strCache>
            </c:strRef>
          </c:tx>
          <c:spPr>
            <a:solidFill>
              <a:schemeClr val="accent1"/>
            </a:solidFill>
            <a:ln>
              <a:noFill/>
            </a:ln>
            <a:effectLst/>
          </c:spPr>
          <c:invertIfNegative val="0"/>
          <c:cat>
            <c:strRef>
              <c:f>الملخصات!$G$2:$G$5</c:f>
              <c:strCache>
                <c:ptCount val="3"/>
                <c:pt idx="0">
                  <c:v>الدمام</c:v>
                </c:pt>
                <c:pt idx="1">
                  <c:v>الرياض</c:v>
                </c:pt>
                <c:pt idx="2">
                  <c:v>جدة</c:v>
                </c:pt>
              </c:strCache>
            </c:strRef>
          </c:cat>
          <c:val>
            <c:numRef>
              <c:f>الملخصات!$H$2:$H$5</c:f>
              <c:numCache>
                <c:formatCode>General</c:formatCode>
                <c:ptCount val="3"/>
                <c:pt idx="0">
                  <c:v>4400</c:v>
                </c:pt>
                <c:pt idx="1">
                  <c:v>3710</c:v>
                </c:pt>
                <c:pt idx="2">
                  <c:v>2830</c:v>
                </c:pt>
              </c:numCache>
            </c:numRef>
          </c:val>
          <c:extLst>
            <c:ext xmlns:c16="http://schemas.microsoft.com/office/drawing/2014/chart" uri="{C3380CC4-5D6E-409C-BE32-E72D297353CC}">
              <c16:uniqueId val="{00000000-FBDD-4948-B538-DC192980B2EA}"/>
            </c:ext>
          </c:extLst>
        </c:ser>
        <c:dLbls>
          <c:showLegendKey val="0"/>
          <c:showVal val="0"/>
          <c:showCatName val="0"/>
          <c:showSerName val="0"/>
          <c:showPercent val="0"/>
          <c:showBubbleSize val="0"/>
        </c:dLbls>
        <c:gapWidth val="219"/>
        <c:overlap val="-27"/>
        <c:axId val="1164466544"/>
        <c:axId val="1144179216"/>
      </c:barChart>
      <c:catAx>
        <c:axId val="116446654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44179216"/>
        <c:crosses val="autoZero"/>
        <c:auto val="1"/>
        <c:lblAlgn val="ctr"/>
        <c:lblOffset val="100"/>
        <c:noMultiLvlLbl val="0"/>
      </c:catAx>
      <c:valAx>
        <c:axId val="11441792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6446654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a:t>حركة</a:t>
            </a:r>
            <a:r>
              <a:rPr lang="ar-SA" baseline="0"/>
              <a:t> الزوار اليومية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lineChart>
        <c:grouping val="standard"/>
        <c:varyColors val="0"/>
        <c:ser>
          <c:idx val="0"/>
          <c:order val="0"/>
          <c:spPr>
            <a:ln w="28575" cap="rnd">
              <a:solidFill>
                <a:schemeClr val="accent1"/>
              </a:solidFill>
              <a:round/>
            </a:ln>
            <a:effectLst/>
          </c:spPr>
          <c:marker>
            <c:symbol val="none"/>
          </c:marker>
          <c:cat>
            <c:numRef>
              <c:f>بيانات!$A$2:$A$22</c:f>
              <c:numCache>
                <c:formatCode>B1dd\-mmm</c:formatCode>
                <c:ptCount val="21"/>
                <c:pt idx="0">
                  <c:v>46023</c:v>
                </c:pt>
                <c:pt idx="1">
                  <c:v>46023</c:v>
                </c:pt>
                <c:pt idx="2">
                  <c:v>46023</c:v>
                </c:pt>
                <c:pt idx="3">
                  <c:v>46024</c:v>
                </c:pt>
                <c:pt idx="4">
                  <c:v>46024</c:v>
                </c:pt>
                <c:pt idx="5">
                  <c:v>46024</c:v>
                </c:pt>
                <c:pt idx="6">
                  <c:v>46025</c:v>
                </c:pt>
                <c:pt idx="7">
                  <c:v>46025</c:v>
                </c:pt>
                <c:pt idx="8">
                  <c:v>46025</c:v>
                </c:pt>
                <c:pt idx="9">
                  <c:v>46026</c:v>
                </c:pt>
                <c:pt idx="10">
                  <c:v>46026</c:v>
                </c:pt>
                <c:pt idx="11">
                  <c:v>46026</c:v>
                </c:pt>
                <c:pt idx="12">
                  <c:v>46027</c:v>
                </c:pt>
                <c:pt idx="13">
                  <c:v>46027</c:v>
                </c:pt>
                <c:pt idx="14">
                  <c:v>46027</c:v>
                </c:pt>
                <c:pt idx="15">
                  <c:v>46028</c:v>
                </c:pt>
                <c:pt idx="16">
                  <c:v>46028</c:v>
                </c:pt>
                <c:pt idx="17">
                  <c:v>46028</c:v>
                </c:pt>
                <c:pt idx="18">
                  <c:v>46029</c:v>
                </c:pt>
                <c:pt idx="19">
                  <c:v>46029</c:v>
                </c:pt>
                <c:pt idx="20">
                  <c:v>46029</c:v>
                </c:pt>
              </c:numCache>
            </c:numRef>
          </c:cat>
          <c:val>
            <c:numRef>
              <c:f>بيانات!$G$2:$G$22</c:f>
              <c:numCache>
                <c:formatCode>General</c:formatCode>
                <c:ptCount val="21"/>
                <c:pt idx="0">
                  <c:v>450</c:v>
                </c:pt>
                <c:pt idx="1">
                  <c:v>320</c:v>
                </c:pt>
                <c:pt idx="2">
                  <c:v>500</c:v>
                </c:pt>
                <c:pt idx="3">
                  <c:v>480</c:v>
                </c:pt>
                <c:pt idx="4">
                  <c:v>350</c:v>
                </c:pt>
                <c:pt idx="5">
                  <c:v>550</c:v>
                </c:pt>
                <c:pt idx="6">
                  <c:v>520</c:v>
                </c:pt>
                <c:pt idx="7">
                  <c:v>400</c:v>
                </c:pt>
                <c:pt idx="8">
                  <c:v>600</c:v>
                </c:pt>
                <c:pt idx="9">
                  <c:v>470</c:v>
                </c:pt>
                <c:pt idx="10">
                  <c:v>380</c:v>
                </c:pt>
                <c:pt idx="11">
                  <c:v>620</c:v>
                </c:pt>
                <c:pt idx="12">
                  <c:v>540</c:v>
                </c:pt>
                <c:pt idx="13">
                  <c:v>420</c:v>
                </c:pt>
                <c:pt idx="14">
                  <c:v>680</c:v>
                </c:pt>
                <c:pt idx="15">
                  <c:v>600</c:v>
                </c:pt>
                <c:pt idx="16">
                  <c:v>460</c:v>
                </c:pt>
                <c:pt idx="17">
                  <c:v>700</c:v>
                </c:pt>
                <c:pt idx="18">
                  <c:v>650</c:v>
                </c:pt>
                <c:pt idx="19">
                  <c:v>500</c:v>
                </c:pt>
                <c:pt idx="20">
                  <c:v>750</c:v>
                </c:pt>
              </c:numCache>
            </c:numRef>
          </c:val>
          <c:smooth val="0"/>
          <c:extLst>
            <c:ext xmlns:c16="http://schemas.microsoft.com/office/drawing/2014/chart" uri="{C3380CC4-5D6E-409C-BE32-E72D297353CC}">
              <c16:uniqueId val="{00000000-1D66-47FC-AE23-AB5432052742}"/>
            </c:ext>
          </c:extLst>
        </c:ser>
        <c:dLbls>
          <c:showLegendKey val="0"/>
          <c:showVal val="0"/>
          <c:showCatName val="0"/>
          <c:showSerName val="0"/>
          <c:showPercent val="0"/>
          <c:showBubbleSize val="0"/>
        </c:dLbls>
        <c:smooth val="0"/>
        <c:axId val="1686681648"/>
        <c:axId val="1694313072"/>
      </c:lineChart>
      <c:dateAx>
        <c:axId val="1686681648"/>
        <c:scaling>
          <c:orientation val="maxMin"/>
        </c:scaling>
        <c:delete val="0"/>
        <c:axPos val="b"/>
        <c:numFmt formatCode="B1d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94313072"/>
        <c:crosses val="autoZero"/>
        <c:auto val="1"/>
        <c:lblOffset val="100"/>
        <c:baseTimeUnit val="days"/>
      </c:dateAx>
      <c:valAx>
        <c:axId val="169431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86681648"/>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238125</xdr:colOff>
      <xdr:row>18</xdr:row>
      <xdr:rowOff>170090</xdr:rowOff>
    </xdr:from>
    <xdr:to>
      <xdr:col>8</xdr:col>
      <xdr:colOff>104322</xdr:colOff>
      <xdr:row>34</xdr:row>
      <xdr:rowOff>10433</xdr:rowOff>
    </xdr:to>
    <xdr:graphicFrame macro="">
      <xdr:nvGraphicFramePr>
        <xdr:cNvPr id="2" name="مخطط 1">
          <a:extLst>
            <a:ext uri="{FF2B5EF4-FFF2-40B4-BE49-F238E27FC236}">
              <a16:creationId xmlns:a16="http://schemas.microsoft.com/office/drawing/2014/main" id="{634DD43F-EC87-47E8-A671-F441BEA88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11339</xdr:colOff>
      <xdr:row>18</xdr:row>
      <xdr:rowOff>147411</xdr:rowOff>
    </xdr:from>
    <xdr:to>
      <xdr:col>15</xdr:col>
      <xdr:colOff>637268</xdr:colOff>
      <xdr:row>33</xdr:row>
      <xdr:rowOff>169182</xdr:rowOff>
    </xdr:to>
    <xdr:graphicFrame macro="">
      <xdr:nvGraphicFramePr>
        <xdr:cNvPr id="3" name="مخطط 2">
          <a:extLst>
            <a:ext uri="{FF2B5EF4-FFF2-40B4-BE49-F238E27FC236}">
              <a16:creationId xmlns:a16="http://schemas.microsoft.com/office/drawing/2014/main" id="{7178DBC8-0C90-463F-8E9D-0F3717A0D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328839</xdr:colOff>
      <xdr:row>18</xdr:row>
      <xdr:rowOff>158750</xdr:rowOff>
    </xdr:from>
    <xdr:to>
      <xdr:col>23</xdr:col>
      <xdr:colOff>297089</xdr:colOff>
      <xdr:row>33</xdr:row>
      <xdr:rowOff>180521</xdr:rowOff>
    </xdr:to>
    <xdr:graphicFrame macro="">
      <xdr:nvGraphicFramePr>
        <xdr:cNvPr id="4" name="مخطط 3">
          <a:extLst>
            <a:ext uri="{FF2B5EF4-FFF2-40B4-BE49-F238E27FC236}">
              <a16:creationId xmlns:a16="http://schemas.microsoft.com/office/drawing/2014/main" id="{09F3FE47-DC56-4DA4-9AF2-7ADA5D481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167869</xdr:colOff>
      <xdr:row>35</xdr:row>
      <xdr:rowOff>7979</xdr:rowOff>
    </xdr:from>
    <xdr:to>
      <xdr:col>6</xdr:col>
      <xdr:colOff>335899</xdr:colOff>
      <xdr:row>41</xdr:row>
      <xdr:rowOff>162822</xdr:rowOff>
    </xdr:to>
    <mc:AlternateContent xmlns:mc="http://schemas.openxmlformats.org/markup-compatibility/2006">
      <mc:Choice xmlns:a14="http://schemas.microsoft.com/office/drawing/2010/main" Requires="a14">
        <xdr:graphicFrame macro="">
          <xdr:nvGraphicFramePr>
            <xdr:cNvPr id="5" name="دار النشر">
              <a:extLst>
                <a:ext uri="{FF2B5EF4-FFF2-40B4-BE49-F238E27FC236}">
                  <a16:creationId xmlns:a16="http://schemas.microsoft.com/office/drawing/2014/main" id="{6AB324C9-713D-ACC1-C8DF-F0072430368D}"/>
                </a:ext>
              </a:extLst>
            </xdr:cNvPr>
            <xdr:cNvGraphicFramePr/>
          </xdr:nvGraphicFramePr>
          <xdr:xfrm>
            <a:off x="0" y="0"/>
            <a:ext cx="0" cy="0"/>
          </xdr:xfrm>
          <a:graphic>
            <a:graphicData uri="http://schemas.microsoft.com/office/drawing/2010/slicer">
              <sle:slicer xmlns:sle="http://schemas.microsoft.com/office/drawing/2010/slicer" name="دار النشر"/>
            </a:graphicData>
          </a:graphic>
        </xdr:graphicFrame>
      </mc:Choice>
      <mc:Fallback>
        <xdr:sp macro="" textlink="">
          <xdr:nvSpPr>
            <xdr:cNvPr id="0" name=""/>
            <xdr:cNvSpPr>
              <a:spLocks noTextEdit="1"/>
            </xdr:cNvSpPr>
          </xdr:nvSpPr>
          <xdr:spPr>
            <a:xfrm>
              <a:off x="10715289101" y="6184797"/>
              <a:ext cx="1803636" cy="1193934"/>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11</xdr:col>
      <xdr:colOff>139375</xdr:colOff>
      <xdr:row>34</xdr:row>
      <xdr:rowOff>60895</xdr:rowOff>
    </xdr:from>
    <xdr:to>
      <xdr:col>13</xdr:col>
      <xdr:colOff>633046</xdr:colOff>
      <xdr:row>41</xdr:row>
      <xdr:rowOff>32564</xdr:rowOff>
    </xdr:to>
    <mc:AlternateContent xmlns:mc="http://schemas.openxmlformats.org/markup-compatibility/2006">
      <mc:Choice xmlns:a14="http://schemas.microsoft.com/office/drawing/2010/main" Requires="a14">
        <xdr:graphicFrame macro="">
          <xdr:nvGraphicFramePr>
            <xdr:cNvPr id="6" name="التصنيف">
              <a:extLst>
                <a:ext uri="{FF2B5EF4-FFF2-40B4-BE49-F238E27FC236}">
                  <a16:creationId xmlns:a16="http://schemas.microsoft.com/office/drawing/2014/main" id="{C0654BB1-B3DD-0FF1-150A-F3F7137A33FE}"/>
                </a:ext>
              </a:extLst>
            </xdr:cNvPr>
            <xdr:cNvGraphicFramePr/>
          </xdr:nvGraphicFramePr>
          <xdr:xfrm>
            <a:off x="0" y="0"/>
            <a:ext cx="0" cy="0"/>
          </xdr:xfrm>
          <a:graphic>
            <a:graphicData uri="http://schemas.microsoft.com/office/drawing/2010/slicer">
              <sle:slicer xmlns:sle="http://schemas.microsoft.com/office/drawing/2010/slicer" name="التصنيف"/>
            </a:graphicData>
          </a:graphic>
        </xdr:graphicFrame>
      </mc:Choice>
      <mc:Fallback>
        <xdr:sp macro="" textlink="">
          <xdr:nvSpPr>
            <xdr:cNvPr id="0" name=""/>
            <xdr:cNvSpPr>
              <a:spLocks noTextEdit="1"/>
            </xdr:cNvSpPr>
          </xdr:nvSpPr>
          <xdr:spPr>
            <a:xfrm>
              <a:off x="10709969681" y="6064531"/>
              <a:ext cx="1802156" cy="1183942"/>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18</xdr:col>
      <xdr:colOff>583060</xdr:colOff>
      <xdr:row>34</xdr:row>
      <xdr:rowOff>113813</xdr:rowOff>
    </xdr:from>
    <xdr:to>
      <xdr:col>21</xdr:col>
      <xdr:colOff>409168</xdr:colOff>
      <xdr:row>41</xdr:row>
      <xdr:rowOff>48847</xdr:rowOff>
    </xdr:to>
    <mc:AlternateContent xmlns:mc="http://schemas.openxmlformats.org/markup-compatibility/2006">
      <mc:Choice xmlns:a14="http://schemas.microsoft.com/office/drawing/2010/main" Requires="a14">
        <xdr:graphicFrame macro="">
          <xdr:nvGraphicFramePr>
            <xdr:cNvPr id="7" name="المدينة">
              <a:extLst>
                <a:ext uri="{FF2B5EF4-FFF2-40B4-BE49-F238E27FC236}">
                  <a16:creationId xmlns:a16="http://schemas.microsoft.com/office/drawing/2014/main" id="{07E47975-E513-4563-EDE1-BF65B53858CD}"/>
                </a:ext>
              </a:extLst>
            </xdr:cNvPr>
            <xdr:cNvGraphicFramePr/>
          </xdr:nvGraphicFramePr>
          <xdr:xfrm>
            <a:off x="0" y="0"/>
            <a:ext cx="0" cy="0"/>
          </xdr:xfrm>
          <a:graphic>
            <a:graphicData uri="http://schemas.microsoft.com/office/drawing/2010/slicer">
              <sle:slicer xmlns:sle="http://schemas.microsoft.com/office/drawing/2010/slicer" name="المدينة"/>
            </a:graphicData>
          </a:graphic>
        </xdr:graphicFrame>
      </mc:Choice>
      <mc:Fallback>
        <xdr:sp macro="" textlink="">
          <xdr:nvSpPr>
            <xdr:cNvPr id="0" name=""/>
            <xdr:cNvSpPr>
              <a:spLocks noTextEdit="1"/>
            </xdr:cNvSpPr>
          </xdr:nvSpPr>
          <xdr:spPr>
            <a:xfrm>
              <a:off x="10704959620" y="6117449"/>
              <a:ext cx="1788835" cy="1147307"/>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24</xdr:col>
      <xdr:colOff>162820</xdr:colOff>
      <xdr:row>19</xdr:row>
      <xdr:rowOff>81411</xdr:rowOff>
    </xdr:from>
    <xdr:to>
      <xdr:col>31</xdr:col>
      <xdr:colOff>61872</xdr:colOff>
      <xdr:row>34</xdr:row>
      <xdr:rowOff>138073</xdr:rowOff>
    </xdr:to>
    <xdr:graphicFrame macro="">
      <xdr:nvGraphicFramePr>
        <xdr:cNvPr id="8" name="مخطط 7">
          <a:extLst>
            <a:ext uri="{FF2B5EF4-FFF2-40B4-BE49-F238E27FC236}">
              <a16:creationId xmlns:a16="http://schemas.microsoft.com/office/drawing/2014/main" id="{B356902E-B38A-482D-9012-565E068EF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r" refreshedDate="46323.030053935188" createdVersion="8" refreshedVersion="8" minRefreshableVersion="3" recordCount="21" xr:uid="{E499B619-AD61-4C3F-AA31-717BB066CB36}">
  <cacheSource type="worksheet">
    <worksheetSource ref="A1:I22" sheet="بيانات"/>
  </cacheSource>
  <cacheFields count="9">
    <cacheField name="التاريخ" numFmtId="164">
      <sharedItems containsSemiMixedTypes="0" containsNonDate="0" containsDate="1" containsString="0" minDate="2026-01-01T00:00:00" maxDate="2026-01-08T00:00:00"/>
    </cacheField>
    <cacheField name="الجناح" numFmtId="0">
      <sharedItems/>
    </cacheField>
    <cacheField name="دار النشر" numFmtId="0">
      <sharedItems count="3">
        <s v="المعرفة"/>
        <s v="الفكر"/>
        <s v="الإبداع"/>
      </sharedItems>
    </cacheField>
    <cacheField name="التصنيف" numFmtId="0">
      <sharedItems count="3">
        <s v="أدب"/>
        <s v="تاريخ"/>
        <s v="أطفال"/>
      </sharedItems>
    </cacheField>
    <cacheField name="عدد الكتب المباعة" numFmtId="0">
      <sharedItems containsSemiMixedTypes="0" containsString="0" containsNumber="1" containsInteger="1" minValue="80" maxValue="250"/>
    </cacheField>
    <cacheField name="الإيرادات" numFmtId="0">
      <sharedItems containsSemiMixedTypes="0" containsString="0" containsNumber="1" containsInteger="1" minValue="2400" maxValue="7500"/>
    </cacheField>
    <cacheField name="عدد الزوار" numFmtId="0">
      <sharedItems containsSemiMixedTypes="0" containsString="0" containsNumber="1" containsInteger="1" minValue="320" maxValue="750"/>
    </cacheField>
    <cacheField name="المدينة" numFmtId="0">
      <sharedItems count="3">
        <s v="الرياض"/>
        <s v="جدة"/>
        <s v="الدمام"/>
      </sharedItems>
    </cacheField>
    <cacheField name="تصنيف الأداء" numFmtId="0">
      <sharedItems/>
    </cacheField>
  </cacheFields>
  <extLst>
    <ext xmlns:x14="http://schemas.microsoft.com/office/spreadsheetml/2009/9/main" uri="{725AE2AE-9491-48be-B2B4-4EB974FC3084}">
      <x14:pivotCacheDefinition pivotCacheId="131700044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6-01-01T00:00:00"/>
    <s v="A1"/>
    <x v="0"/>
    <x v="0"/>
    <n v="120"/>
    <n v="3600"/>
    <n v="450"/>
    <x v="0"/>
    <s v="أداء متوسط"/>
  </r>
  <r>
    <d v="2026-01-01T00:00:00"/>
    <s v="A2"/>
    <x v="1"/>
    <x v="1"/>
    <n v="80"/>
    <n v="2400"/>
    <n v="320"/>
    <x v="1"/>
    <s v="أداء متوسط"/>
  </r>
  <r>
    <d v="2026-01-01T00:00:00"/>
    <s v="A3"/>
    <x v="2"/>
    <x v="2"/>
    <n v="150"/>
    <n v="4500"/>
    <n v="500"/>
    <x v="2"/>
    <s v="أداء متوسط"/>
  </r>
  <r>
    <d v="2026-01-02T00:00:00"/>
    <s v="A1"/>
    <x v="0"/>
    <x v="0"/>
    <n v="140"/>
    <n v="4200"/>
    <n v="480"/>
    <x v="0"/>
    <s v="أداء متوسط"/>
  </r>
  <r>
    <d v="2026-01-02T00:00:00"/>
    <s v="A2"/>
    <x v="1"/>
    <x v="1"/>
    <n v="90"/>
    <n v="2700"/>
    <n v="350"/>
    <x v="1"/>
    <s v="أداء متوسط"/>
  </r>
  <r>
    <d v="2026-01-02T00:00:00"/>
    <s v="A3"/>
    <x v="2"/>
    <x v="2"/>
    <n v="170"/>
    <n v="5100"/>
    <n v="550"/>
    <x v="2"/>
    <s v="أداء مرتفع"/>
  </r>
  <r>
    <d v="2026-01-03T00:00:00"/>
    <s v="A1"/>
    <x v="0"/>
    <x v="0"/>
    <n v="160"/>
    <n v="4800"/>
    <n v="520"/>
    <x v="0"/>
    <s v="أداء متوسط"/>
  </r>
  <r>
    <d v="2026-01-03T00:00:00"/>
    <s v="A2"/>
    <x v="1"/>
    <x v="1"/>
    <n v="110"/>
    <n v="3300"/>
    <n v="400"/>
    <x v="1"/>
    <s v="أداء متوسط"/>
  </r>
  <r>
    <d v="2026-01-03T00:00:00"/>
    <s v="A3"/>
    <x v="2"/>
    <x v="2"/>
    <n v="180"/>
    <n v="5400"/>
    <n v="600"/>
    <x v="2"/>
    <s v="أداء مرتفع"/>
  </r>
  <r>
    <d v="2026-01-04T00:00:00"/>
    <s v="A1"/>
    <x v="0"/>
    <x v="0"/>
    <n v="130"/>
    <n v="3900"/>
    <n v="470"/>
    <x v="0"/>
    <s v="أداء متوسط"/>
  </r>
  <r>
    <d v="2026-01-04T00:00:00"/>
    <s v="A2"/>
    <x v="1"/>
    <x v="1"/>
    <n v="100"/>
    <n v="3000"/>
    <n v="380"/>
    <x v="1"/>
    <s v="أداء متوسط"/>
  </r>
  <r>
    <d v="2026-01-04T00:00:00"/>
    <s v="A3"/>
    <x v="2"/>
    <x v="2"/>
    <n v="190"/>
    <n v="5700"/>
    <n v="620"/>
    <x v="2"/>
    <s v="أداء مرتفع"/>
  </r>
  <r>
    <d v="2026-01-05T00:00:00"/>
    <s v="A1"/>
    <x v="0"/>
    <x v="0"/>
    <n v="170"/>
    <n v="5100"/>
    <n v="540"/>
    <x v="0"/>
    <s v="أداء مرتفع"/>
  </r>
  <r>
    <d v="2026-01-05T00:00:00"/>
    <s v="A2"/>
    <x v="1"/>
    <x v="1"/>
    <n v="120"/>
    <n v="3600"/>
    <n v="420"/>
    <x v="1"/>
    <s v="أداء متوسط"/>
  </r>
  <r>
    <d v="2026-01-05T00:00:00"/>
    <s v="A3"/>
    <x v="2"/>
    <x v="2"/>
    <n v="210"/>
    <n v="6300"/>
    <n v="680"/>
    <x v="2"/>
    <s v="أداء مرتفع"/>
  </r>
  <r>
    <d v="2026-01-06T00:00:00"/>
    <s v="A1"/>
    <x v="0"/>
    <x v="0"/>
    <n v="180"/>
    <n v="5400"/>
    <n v="600"/>
    <x v="0"/>
    <s v="أداء مرتفع"/>
  </r>
  <r>
    <d v="2026-01-06T00:00:00"/>
    <s v="A2"/>
    <x v="1"/>
    <x v="1"/>
    <n v="140"/>
    <n v="4200"/>
    <n v="460"/>
    <x v="1"/>
    <s v="أداء متوسط"/>
  </r>
  <r>
    <d v="2026-01-06T00:00:00"/>
    <s v="A3"/>
    <x v="2"/>
    <x v="2"/>
    <n v="220"/>
    <n v="6600"/>
    <n v="700"/>
    <x v="2"/>
    <s v="أداء مرتفع"/>
  </r>
  <r>
    <d v="2026-01-07T00:00:00"/>
    <s v="A1"/>
    <x v="0"/>
    <x v="0"/>
    <n v="200"/>
    <n v="6000"/>
    <n v="650"/>
    <x v="0"/>
    <s v="أداء مرتفع"/>
  </r>
  <r>
    <d v="2026-01-07T00:00:00"/>
    <s v="A2"/>
    <x v="1"/>
    <x v="1"/>
    <n v="150"/>
    <n v="4500"/>
    <n v="500"/>
    <x v="1"/>
    <s v="أداء متوسط"/>
  </r>
  <r>
    <d v="2026-01-07T00:00:00"/>
    <s v="A3"/>
    <x v="2"/>
    <x v="2"/>
    <n v="250"/>
    <n v="7500"/>
    <n v="750"/>
    <x v="2"/>
    <s v="أداء مرتفع"/>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EEFA16-0F10-423F-B7CE-B934DBC1F89A}" name="PivotTable3" cacheId="5"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G1:H5" firstHeaderRow="1" firstDataRow="1" firstDataCol="1"/>
  <pivotFields count="9">
    <pivotField numFmtId="164" showAll="0"/>
    <pivotField showAll="0"/>
    <pivotField showAll="0">
      <items count="4">
        <item x="2"/>
        <item x="1"/>
        <item x="0"/>
        <item t="default"/>
      </items>
    </pivotField>
    <pivotField showAll="0">
      <items count="4">
        <item x="0"/>
        <item x="2"/>
        <item x="1"/>
        <item t="default"/>
      </items>
    </pivotField>
    <pivotField showAll="0"/>
    <pivotField showAll="0"/>
    <pivotField dataField="1" showAll="0"/>
    <pivotField axis="axisRow" showAll="0">
      <items count="4">
        <item x="2"/>
        <item x="0"/>
        <item x="1"/>
        <item t="default"/>
      </items>
    </pivotField>
    <pivotField showAll="0"/>
  </pivotFields>
  <rowFields count="1">
    <field x="7"/>
  </rowFields>
  <rowItems count="4">
    <i>
      <x/>
    </i>
    <i>
      <x v="1"/>
    </i>
    <i>
      <x v="2"/>
    </i>
    <i t="grand">
      <x/>
    </i>
  </rowItems>
  <colItems count="1">
    <i/>
  </colItems>
  <dataFields count="1">
    <dataField name="مجموع من عدد الزوار" fld="6"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4C2A67-EA39-49C5-B0E2-E6EC25A35928}" name="PivotTable2" cacheId="5"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8">
  <location ref="D1:E5" firstHeaderRow="1" firstDataRow="1" firstDataCol="1"/>
  <pivotFields count="9">
    <pivotField numFmtId="164" showAll="0"/>
    <pivotField showAll="0"/>
    <pivotField showAll="0">
      <items count="4">
        <item x="2"/>
        <item x="1"/>
        <item x="0"/>
        <item t="default"/>
      </items>
    </pivotField>
    <pivotField axis="axisRow" showAll="0">
      <items count="4">
        <item x="0"/>
        <item x="2"/>
        <item x="1"/>
        <item t="default"/>
      </items>
    </pivotField>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مجموع من عدد الكتب المباعة" fld="4" baseField="0" baseItem="0"/>
  </dataFields>
  <chartFormats count="3">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BF909F-4FD7-45EB-82EE-9FFA366F0C06}" name="PivotTable1" cacheId="5"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5">
  <location ref="A1:B5" firstHeaderRow="1" firstDataRow="1" firstDataCol="1"/>
  <pivotFields count="9">
    <pivotField numFmtId="164" showAll="0"/>
    <pivotField showAll="0"/>
    <pivotField axis="axisRow" showAll="0">
      <items count="4">
        <item x="2"/>
        <item x="1"/>
        <item x="0"/>
        <item t="default"/>
      </items>
    </pivotField>
    <pivotField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مجموع من الإيرادات"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دار_النشر" xr10:uid="{3D5112E9-EE28-43C7-93BE-967F0C1014D3}" sourceName="دار النشر">
  <pivotTables>
    <pivotTable tabId="2" name="PivotTable3"/>
  </pivotTables>
  <data>
    <tabular pivotCacheId="131700044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تصنيف" xr10:uid="{5F9A9747-7CC1-49B7-A1E8-26CDA166FFB5}" sourceName="التصنيف">
  <pivotTables>
    <pivotTable tabId="2" name="PivotTable3"/>
  </pivotTables>
  <data>
    <tabular pivotCacheId="13170004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دينة" xr10:uid="{D95CDF4D-F367-42A5-9ACF-8A824D721BE3}" sourceName="المدينة">
  <pivotTables>
    <pivotTable tabId="2" name="PivotTable3"/>
  </pivotTables>
  <data>
    <tabular pivotCacheId="13170004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دار النشر" xr10:uid="{39C36761-FC66-4E2F-A45F-E0149BFD8B82}" cache="مقسم_طريقة_العرض_دار_النشر" caption="دار النشر" rowHeight="230716"/>
  <slicer name="التصنيف" xr10:uid="{D5AFF522-EBEC-48FC-9E0E-EA0F7048774D}" cache="مقسم_طريقة_العرض_التصنيف" caption="التصنيف" rowHeight="230716"/>
  <slicer name="المدينة" xr10:uid="{51FC89DE-2F98-4835-8A9F-0319F6C5B0DA}" cache="مقسم_طريقة_العرض_المدينة" caption="المدينة" rowHeight="230716"/>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89C9-1BED-4CE0-A720-567F153A30E1}">
  <dimension ref="A1:H5"/>
  <sheetViews>
    <sheetView rightToLeft="1" zoomScale="73" workbookViewId="0">
      <selection activeCell="G4" sqref="G2:G4"/>
    </sheetView>
  </sheetViews>
  <sheetFormatPr defaultRowHeight="14" x14ac:dyDescent="0.3"/>
  <cols>
    <col min="1" max="1" width="13.75" bestFit="1" customWidth="1"/>
    <col min="2" max="2" width="13.4140625" bestFit="1" customWidth="1"/>
    <col min="4" max="4" width="13.75" bestFit="1" customWidth="1"/>
    <col min="5" max="5" width="19" bestFit="1" customWidth="1"/>
    <col min="7" max="7" width="13.75" bestFit="1" customWidth="1"/>
    <col min="8" max="8" width="14.58203125" bestFit="1" customWidth="1"/>
  </cols>
  <sheetData>
    <row r="1" spans="1:8" x14ac:dyDescent="0.3">
      <c r="A1" s="7" t="s">
        <v>23</v>
      </c>
      <c r="B1" t="s">
        <v>25</v>
      </c>
      <c r="D1" s="7" t="s">
        <v>23</v>
      </c>
      <c r="E1" t="s">
        <v>26</v>
      </c>
      <c r="G1" s="7" t="s">
        <v>23</v>
      </c>
      <c r="H1" t="s">
        <v>27</v>
      </c>
    </row>
    <row r="2" spans="1:8" x14ac:dyDescent="0.3">
      <c r="A2" s="8" t="s">
        <v>17</v>
      </c>
      <c r="B2" s="9">
        <v>41100</v>
      </c>
      <c r="D2" s="8" t="s">
        <v>10</v>
      </c>
      <c r="E2" s="9">
        <v>1100</v>
      </c>
      <c r="G2" s="8" t="s">
        <v>19</v>
      </c>
      <c r="H2" s="9">
        <v>4400</v>
      </c>
    </row>
    <row r="3" spans="1:8" x14ac:dyDescent="0.3">
      <c r="A3" s="8" t="s">
        <v>13</v>
      </c>
      <c r="B3" s="9">
        <v>23700</v>
      </c>
      <c r="D3" s="8" t="s">
        <v>18</v>
      </c>
      <c r="E3" s="9">
        <v>1370</v>
      </c>
      <c r="G3" s="8" t="s">
        <v>11</v>
      </c>
      <c r="H3" s="9">
        <v>3710</v>
      </c>
    </row>
    <row r="4" spans="1:8" x14ac:dyDescent="0.3">
      <c r="A4" s="8" t="s">
        <v>9</v>
      </c>
      <c r="B4" s="9">
        <v>33000</v>
      </c>
      <c r="D4" s="8" t="s">
        <v>14</v>
      </c>
      <c r="E4" s="9">
        <v>790</v>
      </c>
      <c r="G4" s="8" t="s">
        <v>15</v>
      </c>
      <c r="H4" s="9">
        <v>2830</v>
      </c>
    </row>
    <row r="5" spans="1:8" x14ac:dyDescent="0.3">
      <c r="A5" s="8" t="s">
        <v>24</v>
      </c>
      <c r="B5" s="9">
        <v>97800</v>
      </c>
      <c r="D5" s="8" t="s">
        <v>24</v>
      </c>
      <c r="E5" s="9">
        <v>3260</v>
      </c>
      <c r="G5" s="8" t="s">
        <v>24</v>
      </c>
      <c r="H5" s="9">
        <v>10940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FC44-9755-4C84-9D6F-81488020EEFD}">
  <dimension ref="C5:N15"/>
  <sheetViews>
    <sheetView showGridLines="0" rightToLeft="1" tabSelected="1" zoomScale="33" zoomScaleNormal="100" workbookViewId="0">
      <selection activeCell="Z42" sqref="Z42"/>
    </sheetView>
  </sheetViews>
  <sheetFormatPr defaultRowHeight="14" x14ac:dyDescent="0.3"/>
  <cols>
    <col min="3" max="4" width="8.6640625" customWidth="1"/>
    <col min="5" max="5" width="4.33203125" customWidth="1"/>
    <col min="6" max="6" width="8.6640625" customWidth="1"/>
    <col min="7" max="7" width="14.33203125" customWidth="1"/>
  </cols>
  <sheetData>
    <row r="5" spans="3:14" ht="14.5" thickBot="1" x14ac:dyDescent="0.35">
      <c r="C5" s="10" t="s">
        <v>28</v>
      </c>
      <c r="D5" s="10"/>
      <c r="E5" s="17"/>
      <c r="F5" s="10" t="s">
        <v>29</v>
      </c>
      <c r="G5" s="10"/>
      <c r="H5" s="17"/>
      <c r="I5" s="10" t="s">
        <v>30</v>
      </c>
      <c r="J5" s="10"/>
      <c r="K5" s="17"/>
      <c r="L5" s="17"/>
      <c r="M5" s="17"/>
      <c r="N5" s="17"/>
    </row>
    <row r="6" spans="3:14" x14ac:dyDescent="0.3">
      <c r="C6" s="11">
        <f>GETPIVOTDATA("الإيرادات",الملخصات!$A$1)</f>
        <v>97800</v>
      </c>
      <c r="D6" s="12"/>
      <c r="E6" s="17"/>
      <c r="F6" s="11">
        <f>GETPIVOTDATA("عدد الكتب المباعة",الملخصات!$D$1)</f>
        <v>3260</v>
      </c>
      <c r="G6" s="12"/>
      <c r="H6" s="17"/>
      <c r="I6" s="11">
        <f>GETPIVOTDATA("عدد الزوار",الملخصات!$G$1)</f>
        <v>10940</v>
      </c>
      <c r="J6" s="12"/>
      <c r="K6" s="17"/>
      <c r="L6" s="17"/>
      <c r="M6" s="17"/>
      <c r="N6" s="17"/>
    </row>
    <row r="7" spans="3:14" x14ac:dyDescent="0.3">
      <c r="C7" s="13"/>
      <c r="D7" s="14"/>
      <c r="E7" s="17"/>
      <c r="F7" s="13"/>
      <c r="G7" s="14"/>
      <c r="H7" s="17"/>
      <c r="I7" s="13"/>
      <c r="J7" s="14"/>
      <c r="K7" s="17"/>
      <c r="L7" s="17"/>
      <c r="M7" s="17"/>
      <c r="N7" s="17"/>
    </row>
    <row r="8" spans="3:14" ht="14.5" thickBot="1" x14ac:dyDescent="0.35">
      <c r="C8" s="15"/>
      <c r="D8" s="16"/>
      <c r="E8" s="17"/>
      <c r="F8" s="15"/>
      <c r="G8" s="16"/>
      <c r="H8" s="17"/>
      <c r="I8" s="15"/>
      <c r="J8" s="16"/>
      <c r="K8" s="17"/>
      <c r="L8" s="17"/>
      <c r="M8" s="17"/>
      <c r="N8" s="17"/>
    </row>
    <row r="9" spans="3:14" x14ac:dyDescent="0.3">
      <c r="C9" s="17"/>
      <c r="D9" s="17"/>
      <c r="E9" s="17"/>
      <c r="F9" s="17"/>
      <c r="G9" s="17"/>
      <c r="H9" s="17"/>
      <c r="I9" s="17"/>
      <c r="J9" s="17"/>
      <c r="K9" s="17"/>
      <c r="L9" s="17"/>
      <c r="M9" s="17"/>
      <c r="N9" s="17"/>
    </row>
    <row r="10" spans="3:14" ht="14.5" thickBot="1" x14ac:dyDescent="0.35">
      <c r="C10" s="17"/>
      <c r="D10" s="17"/>
      <c r="E10" s="17"/>
      <c r="F10" s="17"/>
      <c r="G10" s="17"/>
      <c r="H10" s="17"/>
      <c r="I10" s="17"/>
      <c r="J10" s="17"/>
      <c r="K10" s="17"/>
      <c r="L10" s="10" t="s">
        <v>34</v>
      </c>
      <c r="M10" s="10"/>
      <c r="N10" s="17"/>
    </row>
    <row r="11" spans="3:14" x14ac:dyDescent="0.3">
      <c r="C11" s="17"/>
      <c r="D11" s="17"/>
      <c r="E11" s="17"/>
      <c r="F11" s="17"/>
      <c r="G11" s="17"/>
      <c r="H11" s="17"/>
      <c r="I11" s="17"/>
      <c r="J11" s="17"/>
      <c r="K11" s="17"/>
      <c r="L11" s="11">
        <v>3</v>
      </c>
      <c r="M11" s="12"/>
      <c r="N11" s="17"/>
    </row>
    <row r="12" spans="3:14" ht="14.5" thickBot="1" x14ac:dyDescent="0.35">
      <c r="C12" s="10" t="s">
        <v>31</v>
      </c>
      <c r="D12" s="10"/>
      <c r="E12" s="17"/>
      <c r="F12" s="10" t="s">
        <v>32</v>
      </c>
      <c r="G12" s="10"/>
      <c r="H12" s="17"/>
      <c r="I12" s="10" t="s">
        <v>33</v>
      </c>
      <c r="J12" s="10"/>
      <c r="K12" s="17"/>
      <c r="L12" s="13"/>
      <c r="M12" s="14"/>
      <c r="N12" s="17"/>
    </row>
    <row r="13" spans="3:14" ht="14.5" thickBot="1" x14ac:dyDescent="0.35">
      <c r="C13" s="18">
        <f>AVERAGE(بيانات!G2:G22)</f>
        <v>520.95238095238096</v>
      </c>
      <c r="D13" s="19"/>
      <c r="E13" s="17"/>
      <c r="F13" s="11">
        <f>GETPIVOTDATA("الإيرادات",الملخصات!$A$1,"دار النشر","الإبداع")</f>
        <v>41100</v>
      </c>
      <c r="G13" s="12"/>
      <c r="H13" s="17"/>
      <c r="I13" s="11">
        <f>GETPIVOTDATA("عدد الكتب المباعة",الملخصات!$D$1,"التصنيف","أطفال")</f>
        <v>1370</v>
      </c>
      <c r="J13" s="12"/>
      <c r="K13" s="17"/>
      <c r="L13" s="15"/>
      <c r="M13" s="16"/>
      <c r="N13" s="17"/>
    </row>
    <row r="14" spans="3:14" x14ac:dyDescent="0.3">
      <c r="C14" s="20"/>
      <c r="D14" s="21"/>
      <c r="E14" s="17"/>
      <c r="F14" s="13"/>
      <c r="G14" s="14"/>
      <c r="H14" s="17"/>
      <c r="I14" s="13"/>
      <c r="J14" s="14"/>
      <c r="K14" s="17"/>
      <c r="L14" s="17"/>
      <c r="M14" s="17"/>
      <c r="N14" s="17"/>
    </row>
    <row r="15" spans="3:14" ht="14.5" thickBot="1" x14ac:dyDescent="0.35">
      <c r="C15" s="22"/>
      <c r="D15" s="23"/>
      <c r="E15" s="17"/>
      <c r="F15" s="15"/>
      <c r="G15" s="16"/>
      <c r="H15" s="17"/>
      <c r="I15" s="15"/>
      <c r="J15" s="16"/>
      <c r="K15" s="17"/>
      <c r="L15" s="17"/>
      <c r="M15" s="17"/>
      <c r="N15" s="17"/>
    </row>
  </sheetData>
  <mergeCells count="14">
    <mergeCell ref="C13:D15"/>
    <mergeCell ref="F13:G15"/>
    <mergeCell ref="I13:J15"/>
    <mergeCell ref="L11:M13"/>
    <mergeCell ref="C5:D5"/>
    <mergeCell ref="F5:G5"/>
    <mergeCell ref="I5:J5"/>
    <mergeCell ref="C12:D12"/>
    <mergeCell ref="F12:G12"/>
    <mergeCell ref="I12:J12"/>
    <mergeCell ref="C6:D8"/>
    <mergeCell ref="F6:G8"/>
    <mergeCell ref="I6:J8"/>
    <mergeCell ref="L10:M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182A-03FF-49EB-A314-723DAFF026BB}">
  <dimension ref="A1:K22"/>
  <sheetViews>
    <sheetView rightToLeft="1" zoomScale="72" workbookViewId="0">
      <selection activeCell="G2" activeCellId="1" sqref="A2:A22 G2:G22"/>
    </sheetView>
  </sheetViews>
  <sheetFormatPr defaultRowHeight="14" x14ac:dyDescent="0.3"/>
  <cols>
    <col min="10" max="10" width="8.6640625" customWidth="1"/>
    <col min="11" max="11" width="9.9140625" customWidth="1"/>
  </cols>
  <sheetData>
    <row r="1" spans="1:11" ht="15.5" x14ac:dyDescent="0.3">
      <c r="A1" s="4" t="s">
        <v>0</v>
      </c>
      <c r="B1" s="4" t="s">
        <v>1</v>
      </c>
      <c r="C1" s="4" t="s">
        <v>2</v>
      </c>
      <c r="D1" s="4" t="s">
        <v>3</v>
      </c>
      <c r="E1" s="4" t="s">
        <v>4</v>
      </c>
      <c r="F1" s="4" t="s">
        <v>5</v>
      </c>
      <c r="G1" s="4" t="s">
        <v>6</v>
      </c>
      <c r="H1" s="4" t="s">
        <v>7</v>
      </c>
      <c r="I1" s="4" t="s">
        <v>20</v>
      </c>
      <c r="K1" s="4" t="s">
        <v>21</v>
      </c>
    </row>
    <row r="2" spans="1:11" ht="15.5" x14ac:dyDescent="0.35">
      <c r="A2" s="3">
        <v>46023</v>
      </c>
      <c r="B2" s="2" t="s">
        <v>8</v>
      </c>
      <c r="C2" s="2" t="s">
        <v>9</v>
      </c>
      <c r="D2" s="2" t="s">
        <v>10</v>
      </c>
      <c r="E2" s="2">
        <v>120</v>
      </c>
      <c r="F2" s="2">
        <v>3600</v>
      </c>
      <c r="G2" s="2">
        <v>450</v>
      </c>
      <c r="H2" s="2" t="s">
        <v>11</v>
      </c>
      <c r="I2" s="1" t="str">
        <f>IF(F2&gt;5000,"أداء مرتفع","أداء متوسط")</f>
        <v>أداء متوسط</v>
      </c>
      <c r="K2" s="5">
        <f>COUNTIFS(D2:D22,"أطفال",E2:E22,"&gt;150")</f>
        <v>6</v>
      </c>
    </row>
    <row r="3" spans="1:11" ht="15.5" x14ac:dyDescent="0.35">
      <c r="A3" s="3">
        <v>46023</v>
      </c>
      <c r="B3" s="2" t="s">
        <v>12</v>
      </c>
      <c r="C3" s="2" t="s">
        <v>13</v>
      </c>
      <c r="D3" s="2" t="s">
        <v>14</v>
      </c>
      <c r="E3" s="2">
        <v>80</v>
      </c>
      <c r="F3" s="2">
        <v>2400</v>
      </c>
      <c r="G3" s="2">
        <v>320</v>
      </c>
      <c r="H3" s="2" t="s">
        <v>15</v>
      </c>
      <c r="I3" s="1" t="str">
        <f t="shared" ref="I3:I22" si="0">IF(F3&gt;5000,"أداء مرتفع","أداء متوسط")</f>
        <v>أداء متوسط</v>
      </c>
      <c r="K3" s="6" t="s">
        <v>22</v>
      </c>
    </row>
    <row r="4" spans="1:11" ht="15.5" x14ac:dyDescent="0.3">
      <c r="A4" s="3">
        <v>46023</v>
      </c>
      <c r="B4" s="2" t="s">
        <v>16</v>
      </c>
      <c r="C4" s="2" t="s">
        <v>17</v>
      </c>
      <c r="D4" s="2" t="s">
        <v>18</v>
      </c>
      <c r="E4" s="2">
        <v>150</v>
      </c>
      <c r="F4" s="2">
        <v>4500</v>
      </c>
      <c r="G4" s="2">
        <v>500</v>
      </c>
      <c r="H4" s="2" t="s">
        <v>19</v>
      </c>
      <c r="I4" s="1" t="str">
        <f t="shared" si="0"/>
        <v>أداء متوسط</v>
      </c>
      <c r="K4" s="1">
        <f>SUMIFS(F2:F22,D2:D22,"أدب")</f>
        <v>33000</v>
      </c>
    </row>
    <row r="5" spans="1:11" ht="15.5" x14ac:dyDescent="0.3">
      <c r="A5" s="3">
        <v>46024</v>
      </c>
      <c r="B5" s="2" t="s">
        <v>8</v>
      </c>
      <c r="C5" s="2" t="s">
        <v>9</v>
      </c>
      <c r="D5" s="2" t="s">
        <v>10</v>
      </c>
      <c r="E5" s="2">
        <v>140</v>
      </c>
      <c r="F5" s="2">
        <v>4200</v>
      </c>
      <c r="G5" s="2">
        <v>480</v>
      </c>
      <c r="H5" s="2" t="s">
        <v>11</v>
      </c>
      <c r="I5" s="1" t="str">
        <f t="shared" si="0"/>
        <v>أداء متوسط</v>
      </c>
    </row>
    <row r="6" spans="1:11" ht="15.5" x14ac:dyDescent="0.3">
      <c r="A6" s="3">
        <v>46024</v>
      </c>
      <c r="B6" s="2" t="s">
        <v>12</v>
      </c>
      <c r="C6" s="2" t="s">
        <v>13</v>
      </c>
      <c r="D6" s="2" t="s">
        <v>14</v>
      </c>
      <c r="E6" s="2">
        <v>90</v>
      </c>
      <c r="F6" s="2">
        <v>2700</v>
      </c>
      <c r="G6" s="2">
        <v>350</v>
      </c>
      <c r="H6" s="2" t="s">
        <v>15</v>
      </c>
      <c r="I6" s="1" t="str">
        <f t="shared" si="0"/>
        <v>أداء متوسط</v>
      </c>
    </row>
    <row r="7" spans="1:11" ht="15.5" x14ac:dyDescent="0.3">
      <c r="A7" s="3">
        <v>46024</v>
      </c>
      <c r="B7" s="2" t="s">
        <v>16</v>
      </c>
      <c r="C7" s="2" t="s">
        <v>17</v>
      </c>
      <c r="D7" s="2" t="s">
        <v>18</v>
      </c>
      <c r="E7" s="2">
        <v>170</v>
      </c>
      <c r="F7" s="2">
        <v>5100</v>
      </c>
      <c r="G7" s="2">
        <v>550</v>
      </c>
      <c r="H7" s="2" t="s">
        <v>19</v>
      </c>
      <c r="I7" s="1" t="str">
        <f t="shared" si="0"/>
        <v>أداء مرتفع</v>
      </c>
    </row>
    <row r="8" spans="1:11" ht="15.5" x14ac:dyDescent="0.35">
      <c r="A8" s="3">
        <v>46025</v>
      </c>
      <c r="B8" s="2" t="s">
        <v>8</v>
      </c>
      <c r="C8" s="2" t="s">
        <v>9</v>
      </c>
      <c r="D8" s="2" t="s">
        <v>10</v>
      </c>
      <c r="E8" s="2">
        <v>160</v>
      </c>
      <c r="F8" s="2">
        <v>4800</v>
      </c>
      <c r="G8" s="2">
        <v>520</v>
      </c>
      <c r="H8" s="2" t="s">
        <v>11</v>
      </c>
      <c r="I8" s="1" t="str">
        <f t="shared" si="0"/>
        <v>أداء متوسط</v>
      </c>
      <c r="K8" s="6" t="s">
        <v>2</v>
      </c>
    </row>
    <row r="9" spans="1:11" ht="15.5" x14ac:dyDescent="0.3">
      <c r="A9" s="3">
        <v>46025</v>
      </c>
      <c r="B9" s="2" t="s">
        <v>12</v>
      </c>
      <c r="C9" s="2" t="s">
        <v>13</v>
      </c>
      <c r="D9" s="2" t="s">
        <v>14</v>
      </c>
      <c r="E9" s="2">
        <v>110</v>
      </c>
      <c r="F9" s="2">
        <v>3300</v>
      </c>
      <c r="G9" s="2">
        <v>400</v>
      </c>
      <c r="H9" s="2" t="s">
        <v>15</v>
      </c>
      <c r="I9" s="1" t="str">
        <f t="shared" si="0"/>
        <v>أداء متوسط</v>
      </c>
      <c r="K9" s="1" t="s">
        <v>17</v>
      </c>
    </row>
    <row r="10" spans="1:11" ht="15.5" x14ac:dyDescent="0.35">
      <c r="A10" s="3">
        <v>46025</v>
      </c>
      <c r="B10" s="2" t="s">
        <v>16</v>
      </c>
      <c r="C10" s="2" t="s">
        <v>17</v>
      </c>
      <c r="D10" s="2" t="s">
        <v>18</v>
      </c>
      <c r="E10" s="2">
        <v>180</v>
      </c>
      <c r="F10" s="2">
        <v>5400</v>
      </c>
      <c r="G10" s="2">
        <v>600</v>
      </c>
      <c r="H10" s="2" t="s">
        <v>19</v>
      </c>
      <c r="I10" s="1" t="str">
        <f t="shared" si="0"/>
        <v>أداء مرتفع</v>
      </c>
      <c r="K10" s="6" t="s">
        <v>7</v>
      </c>
    </row>
    <row r="11" spans="1:11" ht="15.5" x14ac:dyDescent="0.3">
      <c r="A11" s="3">
        <v>46026</v>
      </c>
      <c r="B11" s="2" t="s">
        <v>8</v>
      </c>
      <c r="C11" s="2" t="s">
        <v>9</v>
      </c>
      <c r="D11" s="2" t="s">
        <v>10</v>
      </c>
      <c r="E11" s="2">
        <v>130</v>
      </c>
      <c r="F11" s="2">
        <v>3900</v>
      </c>
      <c r="G11" s="2">
        <v>470</v>
      </c>
      <c r="H11" s="2" t="s">
        <v>11</v>
      </c>
      <c r="I11" s="1" t="str">
        <f t="shared" si="0"/>
        <v>أداء متوسط</v>
      </c>
      <c r="K11" s="1" t="str">
        <f>_xlfn.XLOOKUP(K9,C2:C22,H2:H22)</f>
        <v>الدمام</v>
      </c>
    </row>
    <row r="12" spans="1:11" ht="15.5" x14ac:dyDescent="0.3">
      <c r="A12" s="3">
        <v>46026</v>
      </c>
      <c r="B12" s="2" t="s">
        <v>12</v>
      </c>
      <c r="C12" s="2" t="s">
        <v>13</v>
      </c>
      <c r="D12" s="2" t="s">
        <v>14</v>
      </c>
      <c r="E12" s="2">
        <v>100</v>
      </c>
      <c r="F12" s="2">
        <v>3000</v>
      </c>
      <c r="G12" s="2">
        <v>380</v>
      </c>
      <c r="H12" s="2" t="s">
        <v>15</v>
      </c>
      <c r="I12" s="1" t="str">
        <f t="shared" si="0"/>
        <v>أداء متوسط</v>
      </c>
    </row>
    <row r="13" spans="1:11" ht="15.5" x14ac:dyDescent="0.3">
      <c r="A13" s="3">
        <v>46026</v>
      </c>
      <c r="B13" s="2" t="s">
        <v>16</v>
      </c>
      <c r="C13" s="2" t="s">
        <v>17</v>
      </c>
      <c r="D13" s="2" t="s">
        <v>18</v>
      </c>
      <c r="E13" s="2">
        <v>190</v>
      </c>
      <c r="F13" s="2">
        <v>5700</v>
      </c>
      <c r="G13" s="2">
        <v>620</v>
      </c>
      <c r="H13" s="2" t="s">
        <v>19</v>
      </c>
      <c r="I13" s="1" t="str">
        <f t="shared" si="0"/>
        <v>أداء مرتفع</v>
      </c>
    </row>
    <row r="14" spans="1:11" ht="15.5" x14ac:dyDescent="0.3">
      <c r="A14" s="3">
        <v>46027</v>
      </c>
      <c r="B14" s="2" t="s">
        <v>8</v>
      </c>
      <c r="C14" s="2" t="s">
        <v>9</v>
      </c>
      <c r="D14" s="2" t="s">
        <v>10</v>
      </c>
      <c r="E14" s="2">
        <v>170</v>
      </c>
      <c r="F14" s="2">
        <v>5100</v>
      </c>
      <c r="G14" s="2">
        <v>540</v>
      </c>
      <c r="H14" s="2" t="s">
        <v>11</v>
      </c>
      <c r="I14" s="1" t="str">
        <f t="shared" si="0"/>
        <v>أداء مرتفع</v>
      </c>
    </row>
    <row r="15" spans="1:11" ht="15.5" x14ac:dyDescent="0.3">
      <c r="A15" s="3">
        <v>46027</v>
      </c>
      <c r="B15" s="2" t="s">
        <v>12</v>
      </c>
      <c r="C15" s="2" t="s">
        <v>13</v>
      </c>
      <c r="D15" s="2" t="s">
        <v>14</v>
      </c>
      <c r="E15" s="2">
        <v>120</v>
      </c>
      <c r="F15" s="2">
        <v>3600</v>
      </c>
      <c r="G15" s="2">
        <v>420</v>
      </c>
      <c r="H15" s="2" t="s">
        <v>15</v>
      </c>
      <c r="I15" s="1" t="str">
        <f t="shared" si="0"/>
        <v>أداء متوسط</v>
      </c>
    </row>
    <row r="16" spans="1:11" ht="15.5" x14ac:dyDescent="0.3">
      <c r="A16" s="3">
        <v>46027</v>
      </c>
      <c r="B16" s="2" t="s">
        <v>16</v>
      </c>
      <c r="C16" s="2" t="s">
        <v>17</v>
      </c>
      <c r="D16" s="2" t="s">
        <v>18</v>
      </c>
      <c r="E16" s="2">
        <v>210</v>
      </c>
      <c r="F16" s="2">
        <v>6300</v>
      </c>
      <c r="G16" s="2">
        <v>680</v>
      </c>
      <c r="H16" s="2" t="s">
        <v>19</v>
      </c>
      <c r="I16" s="1" t="str">
        <f t="shared" si="0"/>
        <v>أداء مرتفع</v>
      </c>
    </row>
    <row r="17" spans="1:9" ht="15.5" x14ac:dyDescent="0.3">
      <c r="A17" s="3">
        <v>46028</v>
      </c>
      <c r="B17" s="2" t="s">
        <v>8</v>
      </c>
      <c r="C17" s="2" t="s">
        <v>9</v>
      </c>
      <c r="D17" s="2" t="s">
        <v>10</v>
      </c>
      <c r="E17" s="2">
        <v>180</v>
      </c>
      <c r="F17" s="2">
        <v>5400</v>
      </c>
      <c r="G17" s="2">
        <v>600</v>
      </c>
      <c r="H17" s="2" t="s">
        <v>11</v>
      </c>
      <c r="I17" s="1" t="str">
        <f t="shared" si="0"/>
        <v>أداء مرتفع</v>
      </c>
    </row>
    <row r="18" spans="1:9" ht="15.5" x14ac:dyDescent="0.3">
      <c r="A18" s="3">
        <v>46028</v>
      </c>
      <c r="B18" s="2" t="s">
        <v>12</v>
      </c>
      <c r="C18" s="2" t="s">
        <v>13</v>
      </c>
      <c r="D18" s="2" t="s">
        <v>14</v>
      </c>
      <c r="E18" s="2">
        <v>140</v>
      </c>
      <c r="F18" s="2">
        <v>4200</v>
      </c>
      <c r="G18" s="2">
        <v>460</v>
      </c>
      <c r="H18" s="2" t="s">
        <v>15</v>
      </c>
      <c r="I18" s="1" t="str">
        <f t="shared" si="0"/>
        <v>أداء متوسط</v>
      </c>
    </row>
    <row r="19" spans="1:9" ht="15.5" x14ac:dyDescent="0.3">
      <c r="A19" s="3">
        <v>46028</v>
      </c>
      <c r="B19" s="2" t="s">
        <v>16</v>
      </c>
      <c r="C19" s="2" t="s">
        <v>17</v>
      </c>
      <c r="D19" s="2" t="s">
        <v>18</v>
      </c>
      <c r="E19" s="2">
        <v>220</v>
      </c>
      <c r="F19" s="2">
        <v>6600</v>
      </c>
      <c r="G19" s="2">
        <v>700</v>
      </c>
      <c r="H19" s="2" t="s">
        <v>19</v>
      </c>
      <c r="I19" s="1" t="str">
        <f t="shared" si="0"/>
        <v>أداء مرتفع</v>
      </c>
    </row>
    <row r="20" spans="1:9" ht="15.5" x14ac:dyDescent="0.3">
      <c r="A20" s="3">
        <v>46029</v>
      </c>
      <c r="B20" s="2" t="s">
        <v>8</v>
      </c>
      <c r="C20" s="2" t="s">
        <v>9</v>
      </c>
      <c r="D20" s="2" t="s">
        <v>10</v>
      </c>
      <c r="E20" s="2">
        <v>200</v>
      </c>
      <c r="F20" s="2">
        <v>6000</v>
      </c>
      <c r="G20" s="2">
        <v>650</v>
      </c>
      <c r="H20" s="2" t="s">
        <v>11</v>
      </c>
      <c r="I20" s="1" t="str">
        <f t="shared" si="0"/>
        <v>أداء مرتفع</v>
      </c>
    </row>
    <row r="21" spans="1:9" ht="15.5" x14ac:dyDescent="0.3">
      <c r="A21" s="3">
        <v>46029</v>
      </c>
      <c r="B21" s="2" t="s">
        <v>12</v>
      </c>
      <c r="C21" s="2" t="s">
        <v>13</v>
      </c>
      <c r="D21" s="2" t="s">
        <v>14</v>
      </c>
      <c r="E21" s="2">
        <v>150</v>
      </c>
      <c r="F21" s="2">
        <v>4500</v>
      </c>
      <c r="G21" s="2">
        <v>500</v>
      </c>
      <c r="H21" s="2" t="s">
        <v>15</v>
      </c>
      <c r="I21" s="1" t="str">
        <f t="shared" si="0"/>
        <v>أداء متوسط</v>
      </c>
    </row>
    <row r="22" spans="1:9" ht="15.5" x14ac:dyDescent="0.3">
      <c r="A22" s="3">
        <v>46029</v>
      </c>
      <c r="B22" s="2" t="s">
        <v>16</v>
      </c>
      <c r="C22" s="2" t="s">
        <v>17</v>
      </c>
      <c r="D22" s="2" t="s">
        <v>18</v>
      </c>
      <c r="E22" s="2">
        <v>250</v>
      </c>
      <c r="F22" s="2">
        <v>7500</v>
      </c>
      <c r="G22" s="2">
        <v>750</v>
      </c>
      <c r="H22" s="2" t="s">
        <v>19</v>
      </c>
      <c r="I22" s="1" t="str">
        <f t="shared" si="0"/>
        <v>أداء مرتفع</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الملخصات</vt:lpstr>
      <vt:lpstr>Dashboard</vt:lpstr>
      <vt:lpstr>بيانات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لانا العمري</dc:creator>
  <cp:lastModifiedBy>لانا العمري</cp:lastModifiedBy>
  <dcterms:created xsi:type="dcterms:W3CDTF">2026-10-27T21:06:03Z</dcterms:created>
  <dcterms:modified xsi:type="dcterms:W3CDTF">2026-10-27T22:41:47Z</dcterms:modified>
</cp:coreProperties>
</file>