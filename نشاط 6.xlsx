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https://d.docs.live.net/ba1d93a2b8fd1233/سطح المكتب/"/>
    </mc:Choice>
  </mc:AlternateContent>
  <xr:revisionPtr revIDLastSave="0" documentId="14_{14991A5A-0ED8-41E8-9F77-3C99644F3273}" xr6:coauthVersionLast="47" xr6:coauthVersionMax="47" xr10:uidLastSave="{00000000-0000-0000-0000-000000000000}"/>
  <bookViews>
    <workbookView xWindow="-90" yWindow="0" windowWidth="9780" windowHeight="10170" firstSheet="1" activeTab="1" xr2:uid="{25287D8F-B3A7-4B6C-9C3C-9A826399EF11}"/>
  </bookViews>
  <sheets>
    <sheet name="المخلصات" sheetId="2" r:id="rId1"/>
    <sheet name="المخططات" sheetId="3" r:id="rId2"/>
    <sheet name="البيانات" sheetId="1" r:id="rId3"/>
  </sheets>
  <definedNames>
    <definedName name="مقسم_طريقة_العرض_اليوم">#N/A</definedName>
  </definedNames>
  <calcPr calcId="191029"/>
  <pivotCaches>
    <pivotCache cacheId="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10" i="3" l="1"/>
  <c r="J10" i="3"/>
  <c r="E10" i="3"/>
</calcChain>
</file>

<file path=xl/sharedStrings.xml><?xml version="1.0" encoding="utf-8"?>
<sst xmlns="http://schemas.openxmlformats.org/spreadsheetml/2006/main" count="14" uniqueCount="12">
  <si>
    <t>تحليل بيانات فعالية أو معرض</t>
  </si>
  <si>
    <t>اليوم</t>
  </si>
  <si>
    <t>عدد الزوار</t>
  </si>
  <si>
    <t>عدد التذاكر</t>
  </si>
  <si>
    <t>الإيرادات</t>
  </si>
  <si>
    <t>تسميات الصفوف</t>
  </si>
  <si>
    <t>الإجمالي الكلي</t>
  </si>
  <si>
    <t>مجموع من عدد الزوار</t>
  </si>
  <si>
    <t>مجموع من الإيرادات</t>
  </si>
  <si>
    <t>اجمالي الزوار</t>
  </si>
  <si>
    <t>اجمالي الإيرادات</t>
  </si>
  <si>
    <t>اعلى يوم زيارة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</si>
</sst>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78"/>
      <scheme val="minor"/>
    </font>
    <font>
      <sz val="11"/>
      <color theme="1"/>
      <name val="Aptos Narrow"/>
      <family val="2"/>
    </font>
    <font>
      <b/>
      <sz val="16"/>
      <color theme="1"/>
      <name val="Arial"/>
      <family val="2"/>
    </font>
    <font>
      <b/>
      <sz val="22"/>
      <color theme="1"/>
      <name val="Arial"/>
      <family val="2"/>
      <scheme val="minor"/>
    </font>
    <font>
      <b/>
      <sz val="24"/>
      <color theme="1"/>
      <name val="Arial"/>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s>
  <borders count="1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24">
    <xf numFmtId="0" fontId="0" fillId="0" borderId="0" xfId="0"/>
    <xf numFmtId="0" fontId="1" fillId="0" borderId="1" xfId="0" applyFont="1" applyBorder="1" applyAlignment="1">
      <alignment wrapText="1" readingOrder="2"/>
    </xf>
    <xf numFmtId="0" fontId="1" fillId="0" borderId="5" xfId="0" applyFont="1" applyBorder="1" applyAlignment="1">
      <alignment wrapText="1" readingOrder="2"/>
    </xf>
    <xf numFmtId="0" fontId="2" fillId="0" borderId="6" xfId="0" applyFont="1" applyBorder="1" applyAlignment="1">
      <alignment horizontal="center" vertical="center" wrapText="1" readingOrder="2"/>
    </xf>
    <xf numFmtId="0" fontId="2" fillId="0" borderId="7" xfId="0" applyFont="1" applyBorder="1" applyAlignment="1">
      <alignment horizontal="center" vertical="center" wrapText="1" readingOrder="2"/>
    </xf>
    <xf numFmtId="0" fontId="2" fillId="0" borderId="2" xfId="0" applyFont="1" applyBorder="1" applyAlignment="1">
      <alignment horizontal="center" vertical="center" wrapText="1" readingOrder="2"/>
    </xf>
    <xf numFmtId="0" fontId="2" fillId="0" borderId="3" xfId="0" applyFont="1" applyBorder="1" applyAlignment="1">
      <alignment horizontal="center" vertical="center" wrapText="1" readingOrder="2"/>
    </xf>
    <xf numFmtId="0" fontId="2" fillId="0" borderId="4" xfId="0" applyFont="1" applyBorder="1" applyAlignment="1">
      <alignment horizontal="center" vertical="center" wrapText="1" readingOrder="2"/>
    </xf>
    <xf numFmtId="0" fontId="0" fillId="0" borderId="0" xfId="0" applyNumberFormat="1"/>
    <xf numFmtId="0" fontId="0" fillId="0" borderId="0" xfId="0" pivotButton="1"/>
    <xf numFmtId="0" fontId="0" fillId="0" borderId="0" xfId="0" applyAlignment="1">
      <alignment horizontal="right"/>
    </xf>
    <xf numFmtId="0" fontId="0" fillId="3" borderId="14" xfId="0" applyFill="1" applyBorder="1" applyAlignment="1">
      <alignment horizont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[نشاط 6.xlsx]المخلصات!PivotTable1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عدد الزوار</a:t>
            </a:r>
            <a:r>
              <a:rPr lang="ar-SA" baseline="0"/>
              <a:t> حسب اليوم</a:t>
            </a:r>
            <a:endParaRPr lang="ar-S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المخلصات!$B$1</c:f>
              <c:strCache>
                <c:ptCount val="1"/>
                <c:pt idx="0">
                  <c:v>الإجمالي</c:v>
                </c:pt>
              </c:strCache>
            </c:strRef>
          </c:tx>
          <c:spPr>
            <a:solidFill>
              <a:schemeClr val="accent1"/>
            </a:solidFill>
            <a:ln>
              <a:noFill/>
            </a:ln>
            <a:effectLst/>
          </c:spPr>
          <c:invertIfNegative val="0"/>
          <c:cat>
            <c:strRef>
              <c:f>المخلصات!$A$2:$A$6</c:f>
              <c:strCache>
                <c:ptCount val="4"/>
                <c:pt idx="0">
                  <c:v>1</c:v>
                </c:pt>
                <c:pt idx="1">
                  <c:v>2</c:v>
                </c:pt>
                <c:pt idx="2">
                  <c:v>3</c:v>
                </c:pt>
                <c:pt idx="3">
                  <c:v>4</c:v>
                </c:pt>
              </c:strCache>
            </c:strRef>
          </c:cat>
          <c:val>
            <c:numRef>
              <c:f>المخلصات!$B$2:$B$6</c:f>
              <c:numCache>
                <c:formatCode>General</c:formatCode>
                <c:ptCount val="4"/>
                <c:pt idx="0">
                  <c:v>800</c:v>
                </c:pt>
                <c:pt idx="1">
                  <c:v>950</c:v>
                </c:pt>
                <c:pt idx="2">
                  <c:v>1100</c:v>
                </c:pt>
                <c:pt idx="3">
                  <c:v>1200</c:v>
                </c:pt>
              </c:numCache>
            </c:numRef>
          </c:val>
          <c:extLst>
            <c:ext xmlns:c16="http://schemas.microsoft.com/office/drawing/2014/chart" uri="{C3380CC4-5D6E-409C-BE32-E72D297353CC}">
              <c16:uniqueId val="{00000000-D3A4-4E4F-B8FA-A24E7A9F59D6}"/>
            </c:ext>
          </c:extLst>
        </c:ser>
        <c:dLbls>
          <c:showLegendKey val="0"/>
          <c:showVal val="0"/>
          <c:showCatName val="0"/>
          <c:showSerName val="0"/>
          <c:showPercent val="0"/>
          <c:showBubbleSize val="0"/>
        </c:dLbls>
        <c:gapWidth val="219"/>
        <c:overlap val="-27"/>
        <c:axId val="1348152287"/>
        <c:axId val="1332878575"/>
      </c:barChart>
      <c:catAx>
        <c:axId val="134815228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32878575"/>
        <c:crosses val="autoZero"/>
        <c:auto val="1"/>
        <c:lblAlgn val="ctr"/>
        <c:lblOffset val="100"/>
        <c:noMultiLvlLbl val="0"/>
      </c:catAx>
      <c:valAx>
        <c:axId val="1332878575"/>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48152287"/>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[نشاط 6.xlsx]المخلصات!PivotTable2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الايرادات حسب اليوم</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المخلصات!$E$1</c:f>
              <c:strCache>
                <c:ptCount val="1"/>
                <c:pt idx="0">
                  <c:v>الإجمالي</c:v>
                </c:pt>
              </c:strCache>
            </c:strRef>
          </c:tx>
          <c:spPr>
            <a:solidFill>
              <a:schemeClr val="accent1"/>
            </a:solidFill>
            <a:ln>
              <a:noFill/>
            </a:ln>
            <a:effectLst/>
          </c:spPr>
          <c:invertIfNegative val="0"/>
          <c:cat>
            <c:strRef>
              <c:f>المخلصات!$D$2:$D$6</c:f>
              <c:strCache>
                <c:ptCount val="4"/>
                <c:pt idx="0">
                  <c:v>1</c:v>
                </c:pt>
                <c:pt idx="1">
                  <c:v>2</c:v>
                </c:pt>
                <c:pt idx="2">
                  <c:v>3</c:v>
                </c:pt>
                <c:pt idx="3">
                  <c:v>4</c:v>
                </c:pt>
              </c:strCache>
            </c:strRef>
          </c:cat>
          <c:val>
            <c:numRef>
              <c:f>المخلصات!$E$2:$E$6</c:f>
              <c:numCache>
                <c:formatCode>General</c:formatCode>
                <c:ptCount val="4"/>
                <c:pt idx="0">
                  <c:v>13000</c:v>
                </c:pt>
                <c:pt idx="1">
                  <c:v>16000</c:v>
                </c:pt>
                <c:pt idx="2">
                  <c:v>19000</c:v>
                </c:pt>
                <c:pt idx="3">
                  <c:v>20000</c:v>
                </c:pt>
              </c:numCache>
            </c:numRef>
          </c:val>
          <c:extLst>
            <c:ext xmlns:c16="http://schemas.microsoft.com/office/drawing/2014/chart" uri="{C3380CC4-5D6E-409C-BE32-E72D297353CC}">
              <c16:uniqueId val="{00000000-B582-4A12-8BFB-4AAA55ED9797}"/>
            </c:ext>
          </c:extLst>
        </c:ser>
        <c:dLbls>
          <c:showLegendKey val="0"/>
          <c:showVal val="0"/>
          <c:showCatName val="0"/>
          <c:showSerName val="0"/>
          <c:showPercent val="0"/>
          <c:showBubbleSize val="0"/>
        </c:dLbls>
        <c:gapWidth val="219"/>
        <c:overlap val="-27"/>
        <c:axId val="1348085359"/>
        <c:axId val="1332859855"/>
      </c:barChart>
      <c:catAx>
        <c:axId val="134808535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32859855"/>
        <c:crosses val="autoZero"/>
        <c:auto val="1"/>
        <c:lblAlgn val="ctr"/>
        <c:lblOffset val="100"/>
        <c:noMultiLvlLbl val="0"/>
      </c:catAx>
      <c:valAx>
        <c:axId val="1332859855"/>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4808535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158750</xdr:colOff>
      <xdr:row>15</xdr:row>
      <xdr:rowOff>114300</xdr:rowOff>
    </xdr:from>
    <xdr:to>
      <xdr:col>7</xdr:col>
      <xdr:colOff>58379</xdr:colOff>
      <xdr:row>29</xdr:row>
      <xdr:rowOff>10171</xdr:rowOff>
    </xdr:to>
    <xdr:graphicFrame macro="">
      <xdr:nvGraphicFramePr>
        <xdr:cNvPr id="2" name="مخطط 1">
          <a:extLst>
            <a:ext uri="{FF2B5EF4-FFF2-40B4-BE49-F238E27FC236}">
              <a16:creationId xmlns:a16="http://schemas.microsoft.com/office/drawing/2014/main" id="{25C34975-928E-4210-94F0-DF88FF53D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612092</xdr:colOff>
      <xdr:row>15</xdr:row>
      <xdr:rowOff>122503</xdr:rowOff>
    </xdr:from>
    <xdr:to>
      <xdr:col>12</xdr:col>
      <xdr:colOff>183597</xdr:colOff>
      <xdr:row>28</xdr:row>
      <xdr:rowOff>107572</xdr:rowOff>
    </xdr:to>
    <xdr:graphicFrame macro="">
      <xdr:nvGraphicFramePr>
        <xdr:cNvPr id="3" name="مخطط 2">
          <a:extLst>
            <a:ext uri="{FF2B5EF4-FFF2-40B4-BE49-F238E27FC236}">
              <a16:creationId xmlns:a16="http://schemas.microsoft.com/office/drawing/2014/main" id="{44E7061F-D1FA-490E-8F56-9437D9313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645763</xdr:colOff>
      <xdr:row>18</xdr:row>
      <xdr:rowOff>96865</xdr:rowOff>
    </xdr:from>
    <xdr:to>
      <xdr:col>16</xdr:col>
      <xdr:colOff>504987</xdr:colOff>
      <xdr:row>27</xdr:row>
      <xdr:rowOff>17391</xdr:rowOff>
    </xdr:to>
    <mc:AlternateContent xmlns:mc="http://schemas.openxmlformats.org/markup-compatibility/2006">
      <mc:Choice xmlns:a14="http://schemas.microsoft.com/office/drawing/2010/main" Requires="a14">
        <xdr:graphicFrame macro="">
          <xdr:nvGraphicFramePr>
            <xdr:cNvPr id="5" name="اليوم">
              <a:extLst>
                <a:ext uri="{FF2B5EF4-FFF2-40B4-BE49-F238E27FC236}">
                  <a16:creationId xmlns:a16="http://schemas.microsoft.com/office/drawing/2014/main" id="{D1D6DB54-C948-48C8-B287-E92AB4F41DD8}"/>
                </a:ext>
              </a:extLst>
            </xdr:cNvPr>
            <xdr:cNvGraphicFramePr/>
          </xdr:nvGraphicFramePr>
          <xdr:xfrm>
            <a:off x="0" y="0"/>
            <a:ext cx="0" cy="0"/>
          </xdr:xfrm>
          <a:graphic>
            <a:graphicData uri="http://schemas.microsoft.com/office/drawing/2010/slicer">
              <sle:slicer xmlns:sle="http://schemas.microsoft.com/office/drawing/2010/slicer" name="اليوم"/>
            </a:graphicData>
          </a:graphic>
        </xdr:graphicFrame>
      </mc:Choice>
      <mc:Fallback>
        <xdr:sp macro="" textlink="">
          <xdr:nvSpPr>
            <xdr:cNvPr id="0" name=""/>
            <xdr:cNvSpPr>
              <a:spLocks noTextEdit="1"/>
            </xdr:cNvSpPr>
          </xdr:nvSpPr>
          <xdr:spPr>
            <a:xfrm>
              <a:off x="10888112155" y="3362579"/>
              <a:ext cx="1854939" cy="1553383"/>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mr" refreshedDate="46322.96651111111" createdVersion="8" refreshedVersion="8" minRefreshableVersion="3" recordCount="4" xr:uid="{76451C0E-D83D-480E-A3ED-314AEB12F718}">
  <cacheSource type="worksheet">
    <worksheetSource ref="A4:D8" sheet="البيانات"/>
  </cacheSource>
  <cacheFields count="4">
    <cacheField name="اليوم" numFmtId="0">
      <sharedItems containsSemiMixedTypes="0" containsString="0" containsNumber="1" containsInteger="1" minValue="1" maxValue="4" count="4">
        <n v="1"/>
        <n v="2"/>
        <n v="3"/>
        <n v="4"/>
      </sharedItems>
    </cacheField>
    <cacheField name="عدد الزوار" numFmtId="0">
      <sharedItems containsSemiMixedTypes="0" containsString="0" containsNumber="1" containsInteger="1" minValue="800" maxValue="1200" count="4">
        <n v="800"/>
        <n v="950"/>
        <n v="1100"/>
        <n v="1200"/>
      </sharedItems>
    </cacheField>
    <cacheField name="عدد التذاكر" numFmtId="0">
      <sharedItems containsSemiMixedTypes="0" containsString="0" containsNumber="1" containsInteger="1" minValue="650" maxValue="1000"/>
    </cacheField>
    <cacheField name="الإيرادات" numFmtId="0">
      <sharedItems containsSemiMixedTypes="0" containsString="0" containsNumber="1" containsInteger="1" minValue="13000" maxValue="20000"/>
    </cacheField>
  </cacheFields>
  <extLst>
    <ext xmlns:x14="http://schemas.microsoft.com/office/spreadsheetml/2009/9/main" uri="{725AE2AE-9491-48be-B2B4-4EB974FC3084}">
      <x14:pivotCacheDefinition pivotCacheId="199909749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650"/>
    <n v="13000"/>
  </r>
  <r>
    <x v="1"/>
    <x v="1"/>
    <n v="800"/>
    <n v="16000"/>
  </r>
  <r>
    <x v="2"/>
    <x v="2"/>
    <n v="950"/>
    <n v="19000"/>
  </r>
  <r>
    <x v="3"/>
    <x v="3"/>
    <n v="1000"/>
    <n v="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AFBCCD-BD0F-414D-BF1B-F74B07D301CC}" name="PivotTable2" cacheId="4"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8">
  <location ref="D1:E6" firstHeaderRow="1" firstDataRow="1" firstDataCol="1"/>
  <pivotFields count="4">
    <pivotField axis="axisRow" showAll="0">
      <items count="5">
        <item x="0"/>
        <item x="1"/>
        <item x="2"/>
        <item x="3"/>
        <item t="default"/>
      </items>
    </pivotField>
    <pivotField showAll="0">
      <items count="5">
        <item x="0"/>
        <item x="1"/>
        <item x="2"/>
        <item x="3"/>
        <item t="default"/>
      </items>
    </pivotField>
    <pivotField showAll="0"/>
    <pivotField dataField="1" showAll="0"/>
  </pivotFields>
  <rowFields count="1">
    <field x="0"/>
  </rowFields>
  <rowItems count="5">
    <i>
      <x/>
    </i>
    <i>
      <x v="1"/>
    </i>
    <i>
      <x v="2"/>
    </i>
    <i>
      <x v="3"/>
    </i>
    <i t="grand">
      <x/>
    </i>
  </rowItems>
  <colItems count="1">
    <i/>
  </colItems>
  <dataFields count="1">
    <dataField name="مجموع من الإيرادات" fld="3"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2EF76D-0C80-48E5-823E-0D670DFA998D}" name="PivotTable1" cacheId="4"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6">
  <location ref="A1:B6" firstHeaderRow="1" firstDataRow="1" firstDataCol="1"/>
  <pivotFields count="4">
    <pivotField axis="axisRow" showAll="0">
      <items count="5">
        <item x="0"/>
        <item x="1"/>
        <item x="2"/>
        <item x="3"/>
        <item t="default"/>
      </items>
    </pivotField>
    <pivotField dataField="1" showAll="0">
      <items count="5">
        <item x="0"/>
        <item x="1"/>
        <item x="2"/>
        <item x="3"/>
        <item t="default"/>
      </items>
    </pivotField>
    <pivotField showAll="0"/>
    <pivotField showAll="0"/>
  </pivotFields>
  <rowFields count="1">
    <field x="0"/>
  </rowFields>
  <rowItems count="5">
    <i>
      <x/>
    </i>
    <i>
      <x v="1"/>
    </i>
    <i>
      <x v="2"/>
    </i>
    <i>
      <x v="3"/>
    </i>
    <i t="grand">
      <x/>
    </i>
  </rowItems>
  <colItems count="1">
    <i/>
  </colItems>
  <dataFields count="1">
    <dataField name="مجموع من عدد الزوار" fld="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يوم" xr10:uid="{75E60E94-E91F-45CD-AB04-6BDDF5A8D3FF}" sourceName="اليوم">
  <pivotTables>
    <pivotTable tabId="2" name="PivotTable2"/>
    <pivotTable tabId="2" name="PivotTable1"/>
  </pivotTables>
  <data>
    <tabular pivotCacheId="199909749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يوم" xr10:uid="{E9A58F2B-7655-465F-9EBA-74ECD9ECBE0F}" cache="مقسم_طريقة_العرض_اليوم" caption="اليوم" rowHeight="230716"/>
</slicer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5908A-3EC9-481A-9F69-114387A79038}">
  <dimension ref="A1:E6"/>
  <sheetViews>
    <sheetView rightToLeft="1" zoomScale="62" workbookViewId="0">
      <selection activeCell="Q19" sqref="Q19"/>
    </sheetView>
  </sheetViews>
  <sheetFormatPr defaultRowHeight="14" x14ac:dyDescent="0.3"/>
  <cols>
    <col min="1" max="1" width="14.75" bestFit="1" customWidth="1"/>
    <col min="2" max="2" width="15" bestFit="1" customWidth="1"/>
    <col min="4" max="4" width="14.75" bestFit="1" customWidth="1"/>
    <col min="5" max="5" width="13.6640625" bestFit="1" customWidth="1"/>
  </cols>
  <sheetData>
    <row r="1" spans="1:5" x14ac:dyDescent="0.3">
      <c r="A1" s="9" t="s">
        <v>5</v>
      </c>
      <c r="B1" t="s">
        <v>7</v>
      </c>
      <c r="D1" s="9" t="s">
        <v>5</v>
      </c>
      <c r="E1" t="s">
        <v>8</v>
      </c>
    </row>
    <row r="2" spans="1:5" x14ac:dyDescent="0.3">
      <c r="A2" s="10">
        <v>1</v>
      </c>
      <c r="B2" s="8">
        <v>800</v>
      </c>
      <c r="D2" s="10">
        <v>1</v>
      </c>
      <c r="E2" s="8">
        <v>13000</v>
      </c>
    </row>
    <row r="3" spans="1:5" x14ac:dyDescent="0.3">
      <c r="A3" s="10">
        <v>2</v>
      </c>
      <c r="B3" s="8">
        <v>950</v>
      </c>
      <c r="D3" s="10">
        <v>2</v>
      </c>
      <c r="E3" s="8">
        <v>16000</v>
      </c>
    </row>
    <row r="4" spans="1:5" x14ac:dyDescent="0.3">
      <c r="A4" s="10">
        <v>3</v>
      </c>
      <c r="B4" s="8">
        <v>1100</v>
      </c>
      <c r="D4" s="10">
        <v>3</v>
      </c>
      <c r="E4" s="8">
        <v>19000</v>
      </c>
    </row>
    <row r="5" spans="1:5" x14ac:dyDescent="0.3">
      <c r="A5" s="10">
        <v>4</v>
      </c>
      <c r="B5" s="8">
        <v>1200</v>
      </c>
      <c r="D5" s="10">
        <v>4</v>
      </c>
      <c r="E5" s="8">
        <v>20000</v>
      </c>
    </row>
    <row r="6" spans="1:5" x14ac:dyDescent="0.3">
      <c r="A6" s="10" t="s">
        <v>6</v>
      </c>
      <c r="B6" s="8">
        <v>4050</v>
      </c>
      <c r="D6" s="10" t="s">
        <v>6</v>
      </c>
      <c r="E6" s="8">
        <v>68000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25BA9-CFB7-4118-BF99-EED76B3B34B4}">
  <dimension ref="E9:O12"/>
  <sheetViews>
    <sheetView showGridLines="0" rightToLeft="1" tabSelected="1" zoomScale="42" zoomScaleNormal="59" workbookViewId="0">
      <selection activeCell="C37" sqref="C37"/>
    </sheetView>
  </sheetViews>
  <sheetFormatPr defaultRowHeight="14" x14ac:dyDescent="0.3"/>
  <sheetData>
    <row r="9" spans="5:15" ht="14.5" thickBot="1" x14ac:dyDescent="0.35">
      <c r="E9" s="11" t="s">
        <v>9</v>
      </c>
      <c r="F9" s="11"/>
      <c r="J9" s="11" t="s">
        <v>10</v>
      </c>
      <c r="K9" s="11"/>
      <c r="N9" s="11" t="s">
        <v>11</v>
      </c>
      <c r="O9" s="11"/>
    </row>
    <row r="10" spans="5:15" x14ac:dyDescent="0.3">
      <c r="E10" s="12">
        <f>SUM(البيانات!B5:B8)</f>
        <v>4050</v>
      </c>
      <c r="F10" s="13"/>
      <c r="J10" s="18">
        <f>SUM(البيانات!D5:D8)</f>
        <v>68000</v>
      </c>
      <c r="K10" s="19"/>
      <c r="N10" s="12">
        <f>INDEX(البيانات!A5:A8,MATCH(MAX(البيانات!B5:B8),البيانات!B5:B8,0))</f>
        <v>4</v>
      </c>
      <c r="O10" s="13"/>
    </row>
    <row r="11" spans="5:15" x14ac:dyDescent="0.3">
      <c r="E11" s="14"/>
      <c r="F11" s="15"/>
      <c r="J11" s="20"/>
      <c r="K11" s="21"/>
      <c r="N11" s="14"/>
      <c r="O11" s="15"/>
    </row>
    <row r="12" spans="5:15" ht="14.5" thickBot="1" x14ac:dyDescent="0.35">
      <c r="E12" s="16"/>
      <c r="F12" s="17"/>
      <c r="J12" s="22"/>
      <c r="K12" s="23"/>
      <c r="N12" s="16"/>
      <c r="O12" s="17"/>
    </row>
  </sheetData>
  <mergeCells count="6">
    <mergeCell ref="E10:F12"/>
    <mergeCell ref="J10:K12"/>
    <mergeCell ref="N10:O12"/>
    <mergeCell ref="E9:F9"/>
    <mergeCell ref="N9:O9"/>
    <mergeCell ref="J9:K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F086C-1F1D-48DB-8A62-B543710C0959}">
  <dimension ref="A1:D8"/>
  <sheetViews>
    <sheetView rightToLeft="1" zoomScale="116" workbookViewId="0">
      <selection activeCell="G19" sqref="G19"/>
    </sheetView>
  </sheetViews>
  <sheetFormatPr defaultRowHeight="14" x14ac:dyDescent="0.3"/>
  <sheetData>
    <row r="1" spans="1:4" ht="15" thickBot="1" x14ac:dyDescent="0.4">
      <c r="A1" s="1"/>
      <c r="B1" s="1"/>
      <c r="C1" s="1"/>
      <c r="D1" s="1"/>
    </row>
    <row r="2" spans="1:4" ht="20.5" thickBot="1" x14ac:dyDescent="0.35">
      <c r="A2" s="5" t="s">
        <v>0</v>
      </c>
      <c r="B2" s="6"/>
      <c r="C2" s="6"/>
      <c r="D2" s="7"/>
    </row>
    <row r="3" spans="1:4" ht="15" thickBot="1" x14ac:dyDescent="0.4">
      <c r="A3" s="2"/>
      <c r="B3" s="2"/>
      <c r="C3" s="2"/>
      <c r="D3" s="2"/>
    </row>
    <row r="4" spans="1:4" ht="40.5" thickBot="1" x14ac:dyDescent="0.35">
      <c r="A4" s="3" t="s">
        <v>1</v>
      </c>
      <c r="B4" s="4" t="s">
        <v>2</v>
      </c>
      <c r="C4" s="4" t="s">
        <v>3</v>
      </c>
      <c r="D4" s="4" t="s">
        <v>4</v>
      </c>
    </row>
    <row r="5" spans="1:4" ht="20.5" thickBot="1" x14ac:dyDescent="0.35">
      <c r="A5" s="3">
        <v>1</v>
      </c>
      <c r="B5" s="4">
        <v>800</v>
      </c>
      <c r="C5" s="4">
        <v>650</v>
      </c>
      <c r="D5" s="4">
        <v>13000</v>
      </c>
    </row>
    <row r="6" spans="1:4" ht="20.5" thickBot="1" x14ac:dyDescent="0.35">
      <c r="A6" s="3">
        <v>2</v>
      </c>
      <c r="B6" s="4">
        <v>950</v>
      </c>
      <c r="C6" s="4">
        <v>800</v>
      </c>
      <c r="D6" s="4">
        <v>16000</v>
      </c>
    </row>
    <row r="7" spans="1:4" ht="20.5" thickBot="1" x14ac:dyDescent="0.35">
      <c r="A7" s="3">
        <v>3</v>
      </c>
      <c r="B7" s="4">
        <v>1100</v>
      </c>
      <c r="C7" s="4">
        <v>950</v>
      </c>
      <c r="D7" s="4">
        <v>19000</v>
      </c>
    </row>
    <row r="8" spans="1:4" ht="20.5" thickBot="1" x14ac:dyDescent="0.35">
      <c r="A8" s="3">
        <v>4</v>
      </c>
      <c r="B8" s="4">
        <v>1200</v>
      </c>
      <c r="C8" s="4">
        <v>1000</v>
      </c>
      <c r="D8" s="4">
        <v>20000</v>
      </c>
    </row>
  </sheetData>
  <mergeCells count="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المخلصات</vt:lpstr>
      <vt:lpstr>المخططات</vt:lpstr>
      <vt:lpstr>البيانات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لانا العمري</dc:creator>
  <cp:lastModifiedBy>لانا العمري</cp:lastModifiedBy>
  <dcterms:created xsi:type="dcterms:W3CDTF">2026-10-27T20:05:59Z</dcterms:created>
  <dcterms:modified xsi:type="dcterms:W3CDTF">2026-10-27T20:56:54Z</dcterms:modified>
</cp:coreProperties>
</file>